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OneDrive\Desktop\Project_BioAlgorithm\"/>
    </mc:Choice>
  </mc:AlternateContent>
  <xr:revisionPtr revIDLastSave="0" documentId="13_ncr:1_{5A4105AA-5614-4A50-B90F-1D320576CB1E}" xr6:coauthVersionLast="36" xr6:coauthVersionMax="36" xr10:uidLastSave="{00000000-0000-0000-0000-000000000000}"/>
  <bookViews>
    <workbookView xWindow="0" yWindow="0" windowWidth="23040" windowHeight="8940" activeTab="1" xr2:uid="{E7B56230-8AEC-44BC-9BAF-E13A05F0F023}"/>
  </bookViews>
  <sheets>
    <sheet name="Daily_Log" sheetId="1" r:id="rId1"/>
    <sheet name="Workout_Log" sheetId="2" r:id="rId2"/>
    <sheet name="Config" sheetId="3" r:id="rId3"/>
    <sheet name="Dashboard" sheetId="4" r:id="rId4"/>
    <sheet name="Player_Profile" sheetId="5" r:id="rId5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C10" i="5" l="1"/>
  <c r="C14" i="5"/>
  <c r="C13" i="5"/>
  <c r="C12" i="5"/>
  <c r="F3" i="5"/>
  <c r="F4" i="5"/>
  <c r="F5" i="5"/>
  <c r="C5" i="5"/>
  <c r="C3" i="5" s="1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2" i="2"/>
  <c r="C8" i="5" l="1"/>
  <c r="C6" i="5"/>
  <c r="F4" i="4"/>
  <c r="D4" i="4"/>
  <c r="B4" i="4"/>
  <c r="B7" i="4" l="1"/>
</calcChain>
</file>

<file path=xl/sharedStrings.xml><?xml version="1.0" encoding="utf-8"?>
<sst xmlns="http://schemas.openxmlformats.org/spreadsheetml/2006/main" count="198" uniqueCount="72">
  <si>
    <t>Date</t>
  </si>
  <si>
    <t>Sleep_Hours</t>
  </si>
  <si>
    <t>Water_Liters</t>
  </si>
  <si>
    <t>Creatine</t>
  </si>
  <si>
    <t>Coding_Hours</t>
  </si>
  <si>
    <t>Mood_Score</t>
  </si>
  <si>
    <t>Exercise_Name</t>
  </si>
  <si>
    <t>Reps</t>
  </si>
  <si>
    <t>RPE</t>
  </si>
  <si>
    <t>Set_Number</t>
  </si>
  <si>
    <t>Weight_KG</t>
  </si>
  <si>
    <t>Yes</t>
  </si>
  <si>
    <t>Inclined Dumbbell Press</t>
  </si>
  <si>
    <t>Bench Press</t>
  </si>
  <si>
    <t>Cable Crossover</t>
  </si>
  <si>
    <t>Machine Inclined Press</t>
  </si>
  <si>
    <t>Lat Pulldown</t>
  </si>
  <si>
    <t>Reverse Lat  Pulldown</t>
  </si>
  <si>
    <t>Bendover Row</t>
  </si>
  <si>
    <t>Seated Row</t>
  </si>
  <si>
    <t>Lat Pullover</t>
  </si>
  <si>
    <t>Hyperextension</t>
  </si>
  <si>
    <t>Screen_Time_Phone</t>
  </si>
  <si>
    <t>Protein_Grams</t>
  </si>
  <si>
    <t>Caffeine_Mg</t>
  </si>
  <si>
    <t>Soreness_Level</t>
  </si>
  <si>
    <t>Music_Genre</t>
  </si>
  <si>
    <t>Pre_Workout</t>
  </si>
  <si>
    <t>Rest_Time_Minutes</t>
  </si>
  <si>
    <t>Gym_Crowd_Level</t>
  </si>
  <si>
    <t>Gym_Bollywood</t>
  </si>
  <si>
    <t>Gym_Punjabi</t>
  </si>
  <si>
    <t>No</t>
  </si>
  <si>
    <t>Physical_Condition</t>
  </si>
  <si>
    <t>Sore_Chest</t>
  </si>
  <si>
    <t>Stiff_LowerBack</t>
  </si>
  <si>
    <t>(Column A) Music_List</t>
  </si>
  <si>
    <t>(Column B) Condition_List</t>
  </si>
  <si>
    <t>(Column C) Crowd_List</t>
  </si>
  <si>
    <t>Fresh</t>
  </si>
  <si>
    <t>Gym_Pop</t>
  </si>
  <si>
    <t>Gym_Mix</t>
  </si>
  <si>
    <t>Sore_Legs</t>
  </si>
  <si>
    <t>Gym_EDM</t>
  </si>
  <si>
    <t>Sore_Lats</t>
  </si>
  <si>
    <t>No_Music</t>
  </si>
  <si>
    <t>Pain_Shoulder</t>
  </si>
  <si>
    <t>RECOVERY BATTERY</t>
  </si>
  <si>
    <t>SQUAT PR</t>
  </si>
  <si>
    <t>AVG SLEEP</t>
  </si>
  <si>
    <t>BENCH PRESS PR</t>
  </si>
  <si>
    <t>XP_Gained</t>
  </si>
  <si>
    <t>PLAYER NAME:</t>
  </si>
  <si>
    <t>CURRENT RANK:</t>
  </si>
  <si>
    <t>TOTAL XP GATHERED:</t>
  </si>
  <si>
    <t>XP TO NEXT LEVEL:</t>
  </si>
  <si>
    <t>Rajat Chauhan</t>
  </si>
  <si>
    <t>Attribute</t>
  </si>
  <si>
    <t>Power Index</t>
  </si>
  <si>
    <t>STRENGTH (Push)</t>
  </si>
  <si>
    <t>STAMINA (Pull)</t>
  </si>
  <si>
    <t>POWER (Legs)</t>
  </si>
  <si>
    <t>DAILY MISSION:</t>
  </si>
  <si>
    <t>SQUAT PR:</t>
  </si>
  <si>
    <t>BENCH PR:</t>
  </si>
  <si>
    <t>DEADLIFT PR:</t>
  </si>
  <si>
    <t>STATUS:</t>
  </si>
  <si>
    <t>Reverse Pec Dec Fly</t>
  </si>
  <si>
    <t>Gym_Haryanvi</t>
  </si>
  <si>
    <t>Dumbbell Lateral Raises</t>
  </si>
  <si>
    <t>Machine Dumbbell Press</t>
  </si>
  <si>
    <t>Dumbbell Shrugs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</si>
</sst>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[$-F800]dddd\,\ mmmm\ dd\,\ yyyy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20"/>
      <color rgb="FF92D050"/>
      <name val="Playbill"/>
      <family val="5"/>
    </font>
    <font>
      <sz val="11"/>
      <color rgb="FF000000"/>
      <name val="Calibri"/>
      <family val="2"/>
    </font>
    <font>
      <sz val="12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36"/>
      <color rgb="FF92D050"/>
      <name val="Playbill"/>
      <family val="5"/>
    </font>
    <font>
      <sz val="10"/>
      <color rgb="FF444746"/>
      <name val="Google Sans Text"/>
      <family val="2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 readingOrder="1"/>
    </xf>
    <xf numFmtId="0" fontId="9" fillId="0" borderId="1" xfId="0" applyFont="1" applyBorder="1" applyAlignment="1">
      <alignment horizontal="center" vertical="center" wrapText="1" readingOrder="1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8" fillId="0" borderId="0" xfId="0" applyFont="1" applyFill="1" applyAlignment="1">
      <alignment horizontal="left" vertical="center"/>
    </xf>
    <xf numFmtId="166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 readingOrder="1"/>
    </xf>
    <xf numFmtId="166" fontId="1" fillId="0" borderId="0" xfId="0" applyNumberFormat="1" applyFont="1" applyAlignment="1">
      <alignment horizontal="center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9FF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rgbClr val="00B0F0"/>
              </a:solidFill>
            </a:ln>
            <a:effectLst>
              <a:glow rad="127000">
                <a:srgbClr val="39FF14">
                  <a:alpha val="25000"/>
                </a:srgbClr>
              </a:glow>
            </a:effectLst>
          </c:spPr>
          <c:cat>
            <c:strRef>
              <c:f>(Player_Profile!$E$3,Player_Profile!$E$4,Player_Profile!$E$5)</c:f>
              <c:strCache>
                <c:ptCount val="3"/>
                <c:pt idx="0">
                  <c:v>STRENGTH (Push)</c:v>
                </c:pt>
                <c:pt idx="1">
                  <c:v>STAMINA (Pull)</c:v>
                </c:pt>
                <c:pt idx="2">
                  <c:v>POWER (Legs)</c:v>
                </c:pt>
              </c:strCache>
            </c:strRef>
          </c:cat>
          <c:val>
            <c:numRef>
              <c:f>(Player_Profile!$F$3,Player_Profile!$F$4,Player_Profile!$F$5)</c:f>
              <c:numCache>
                <c:formatCode>General</c:formatCode>
                <c:ptCount val="3"/>
                <c:pt idx="0">
                  <c:v>4435</c:v>
                </c:pt>
                <c:pt idx="1">
                  <c:v>5660</c:v>
                </c:pt>
                <c:pt idx="2">
                  <c:v>1368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F-46C6-B537-2E67EF1F7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50896"/>
        <c:axId val="627746048"/>
      </c:radarChart>
      <c:catAx>
        <c:axId val="2481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746048"/>
        <c:crosses val="autoZero"/>
        <c:auto val="1"/>
        <c:lblAlgn val="ctr"/>
        <c:lblOffset val="100"/>
        <c:noMultiLvlLbl val="0"/>
      </c:catAx>
      <c:valAx>
        <c:axId val="62774604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24815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8</xdr:row>
          <xdr:rowOff>182880</xdr:rowOff>
        </xdr:from>
        <xdr:to>
          <xdr:col>5</xdr:col>
          <xdr:colOff>609600</xdr:colOff>
          <xdr:row>10</xdr:row>
          <xdr:rowOff>182880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🚀 ANALYZE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93134</xdr:colOff>
      <xdr:row>6</xdr:row>
      <xdr:rowOff>118534</xdr:rowOff>
    </xdr:from>
    <xdr:to>
      <xdr:col>7</xdr:col>
      <xdr:colOff>186268</xdr:colOff>
      <xdr:row>20</xdr:row>
      <xdr:rowOff>186266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551B2-57FC-44E0-9C67-4FB91070B997}">
  <sheetPr codeName="Sheet1"/>
  <dimension ref="A1:M11"/>
  <sheetViews>
    <sheetView zoomScale="109" workbookViewId="0">
      <selection activeCell="A19" sqref="A19"/>
    </sheetView>
  </sheetViews>
  <sheetFormatPr defaultRowHeight="14.4"/>
  <cols>
    <col min="1" max="1" width="35.21875" style="2" customWidth="1"/>
    <col min="2" max="2" width="15.5546875" style="2" customWidth="1"/>
    <col min="3" max="3" width="14.33203125" style="2" customWidth="1"/>
    <col min="4" max="4" width="12.21875" style="2" customWidth="1"/>
    <col min="5" max="5" width="16" style="2" customWidth="1"/>
    <col min="6" max="6" width="14.5546875" style="2" customWidth="1"/>
    <col min="7" max="7" width="22.33203125" style="2" customWidth="1"/>
    <col min="8" max="8" width="18.44140625" style="2" customWidth="1"/>
    <col min="9" max="9" width="15.88671875" style="2" customWidth="1"/>
    <col min="10" max="10" width="19.109375" style="2" customWidth="1"/>
    <col min="11" max="11" width="21.6640625" style="2" customWidth="1"/>
    <col min="12" max="16384" width="8.88671875" style="2"/>
  </cols>
  <sheetData>
    <row r="1" spans="1:13" s="1" customForma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22</v>
      </c>
      <c r="H1" s="1" t="s">
        <v>23</v>
      </c>
      <c r="I1" s="1" t="s">
        <v>24</v>
      </c>
      <c r="J1" s="1" t="s">
        <v>25</v>
      </c>
      <c r="K1" s="1" t="s">
        <v>33</v>
      </c>
    </row>
    <row r="2" spans="1:13">
      <c r="A2" s="10">
        <v>46027</v>
      </c>
      <c r="B2" s="2">
        <v>3</v>
      </c>
      <c r="C2" s="2">
        <v>3.5</v>
      </c>
      <c r="D2" s="2" t="s">
        <v>11</v>
      </c>
      <c r="E2" s="2">
        <v>2</v>
      </c>
      <c r="F2" s="2">
        <v>8</v>
      </c>
      <c r="G2" s="2">
        <v>8</v>
      </c>
      <c r="H2" s="2">
        <v>130</v>
      </c>
      <c r="I2" s="2">
        <v>0</v>
      </c>
      <c r="J2" s="2">
        <v>6</v>
      </c>
      <c r="K2" s="2" t="s">
        <v>34</v>
      </c>
    </row>
    <row r="3" spans="1:13">
      <c r="A3" s="10">
        <v>46028</v>
      </c>
      <c r="B3" s="2">
        <v>5</v>
      </c>
      <c r="C3" s="2">
        <v>4</v>
      </c>
      <c r="D3" s="2" t="s">
        <v>11</v>
      </c>
      <c r="E3" s="2">
        <v>9</v>
      </c>
      <c r="F3" s="2">
        <v>7</v>
      </c>
      <c r="G3" s="2">
        <v>4</v>
      </c>
      <c r="H3" s="2">
        <v>140</v>
      </c>
      <c r="I3" s="2">
        <v>0</v>
      </c>
      <c r="J3" s="2">
        <v>8</v>
      </c>
      <c r="K3" s="2" t="s">
        <v>35</v>
      </c>
    </row>
    <row r="4" spans="1:13">
      <c r="A4" s="10">
        <v>46029</v>
      </c>
      <c r="B4" s="2">
        <v>4</v>
      </c>
      <c r="C4" s="2">
        <v>4</v>
      </c>
      <c r="D4" s="2" t="s">
        <v>11</v>
      </c>
      <c r="E4" s="2">
        <v>4</v>
      </c>
      <c r="F4" s="2">
        <v>9</v>
      </c>
      <c r="G4" s="2">
        <v>4</v>
      </c>
      <c r="H4" s="2">
        <v>140</v>
      </c>
      <c r="I4" s="2">
        <v>0</v>
      </c>
      <c r="J4" s="2">
        <v>5</v>
      </c>
      <c r="K4" s="2" t="s">
        <v>46</v>
      </c>
    </row>
    <row r="5" spans="1:13">
      <c r="A5" s="10">
        <v>46030</v>
      </c>
    </row>
    <row r="6" spans="1:13">
      <c r="A6" s="10">
        <v>46031</v>
      </c>
    </row>
    <row r="11" spans="1:13" ht="24">
      <c r="M11" s="11"/>
    </row>
  </sheetData>
  <conditionalFormatting sqref="B1:B1048576">
    <cfRule type="cellIs" dxfId="7" priority="3" operator="lessThan">
      <formula>6</formula>
    </cfRule>
    <cfRule type="cellIs" dxfId="6" priority="2" operator="greaterThan">
      <formula>7</formula>
    </cfRule>
  </conditionalFormatting>
  <conditionalFormatting sqref="I1:I1048576 J4">
    <cfRule type="cellIs" dxfId="5" priority="1" operator="greaterThan">
      <formula>300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6E1738-988F-4E56-8C9F-B9899C91E020}">
          <x14:formula1>
            <xm:f>Config!$B$2:$B$7</xm:f>
          </x14:formula1>
          <xm:sqref>K1:K1048576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30CD-B9A8-436E-8287-AF44FEB180C9}">
  <sheetPr codeName="Sheet2"/>
  <dimension ref="A1:K46"/>
  <sheetViews>
    <sheetView tabSelected="1" topLeftCell="A32" zoomScale="108" workbookViewId="0">
      <selection activeCell="C49" sqref="C49"/>
    </sheetView>
  </sheetViews>
  <sheetFormatPr defaultRowHeight="14.4"/>
  <cols>
    <col min="1" max="1" width="29.44140625" style="10" customWidth="1"/>
    <col min="2" max="2" width="25" style="2" customWidth="1"/>
    <col min="3" max="3" width="13.109375" style="2" customWidth="1"/>
    <col min="4" max="4" width="13" style="2" customWidth="1"/>
    <col min="5" max="5" width="10.5546875" style="2" customWidth="1"/>
    <col min="6" max="6" width="9.44140625" style="2" customWidth="1"/>
    <col min="7" max="7" width="20.109375" style="2" customWidth="1"/>
    <col min="8" max="8" width="14" style="2" customWidth="1"/>
    <col min="9" max="9" width="20.21875" style="2" customWidth="1"/>
    <col min="10" max="10" width="19.88671875" style="2" customWidth="1"/>
    <col min="11" max="11" width="15.88671875" style="2" customWidth="1"/>
    <col min="12" max="16384" width="8.88671875" style="2"/>
  </cols>
  <sheetData>
    <row r="1" spans="1:11" s="1" customFormat="1">
      <c r="A1" s="13" t="s">
        <v>0</v>
      </c>
      <c r="B1" s="1" t="s">
        <v>6</v>
      </c>
      <c r="C1" s="1" t="s">
        <v>9</v>
      </c>
      <c r="D1" s="1" t="s">
        <v>10</v>
      </c>
      <c r="E1" s="1" t="s">
        <v>7</v>
      </c>
      <c r="F1" s="1" t="s">
        <v>8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51</v>
      </c>
    </row>
    <row r="2" spans="1:11">
      <c r="A2" s="10">
        <v>46027</v>
      </c>
      <c r="B2" s="2" t="s">
        <v>12</v>
      </c>
      <c r="C2" s="2">
        <v>1</v>
      </c>
      <c r="D2" s="2">
        <v>10</v>
      </c>
      <c r="E2" s="2">
        <v>16</v>
      </c>
      <c r="F2" s="2">
        <v>2</v>
      </c>
      <c r="G2" s="2" t="s">
        <v>31</v>
      </c>
      <c r="H2" s="2" t="s">
        <v>32</v>
      </c>
      <c r="I2" s="2">
        <v>2</v>
      </c>
      <c r="J2" s="2">
        <v>1</v>
      </c>
      <c r="K2" s="2">
        <f>IF(D2=0, 38*E2, D2*E2)</f>
        <v>160</v>
      </c>
    </row>
    <row r="3" spans="1:11">
      <c r="A3" s="10">
        <v>46027</v>
      </c>
      <c r="B3" s="2" t="s">
        <v>12</v>
      </c>
      <c r="C3" s="2">
        <v>2</v>
      </c>
      <c r="D3" s="2">
        <v>15</v>
      </c>
      <c r="E3" s="2">
        <v>14</v>
      </c>
      <c r="F3" s="2">
        <v>4</v>
      </c>
      <c r="G3" s="2" t="s">
        <v>31</v>
      </c>
      <c r="H3" s="2" t="s">
        <v>32</v>
      </c>
      <c r="I3" s="2">
        <v>1</v>
      </c>
      <c r="J3" s="2">
        <v>1</v>
      </c>
      <c r="K3" s="2">
        <f t="shared" ref="K3:K46" si="0">IF(D3=0, 38*E3, D3*E3)</f>
        <v>210</v>
      </c>
    </row>
    <row r="4" spans="1:11">
      <c r="A4" s="10">
        <v>46027</v>
      </c>
      <c r="B4" s="2" t="s">
        <v>12</v>
      </c>
      <c r="C4" s="2">
        <v>3</v>
      </c>
      <c r="D4" s="2">
        <v>17.5</v>
      </c>
      <c r="E4" s="2">
        <v>12</v>
      </c>
      <c r="F4" s="2">
        <v>7</v>
      </c>
      <c r="G4" s="2" t="s">
        <v>31</v>
      </c>
      <c r="H4" s="2" t="s">
        <v>32</v>
      </c>
      <c r="I4" s="2">
        <v>3</v>
      </c>
      <c r="J4" s="2">
        <v>1</v>
      </c>
      <c r="K4" s="2">
        <f t="shared" si="0"/>
        <v>210</v>
      </c>
    </row>
    <row r="5" spans="1:11">
      <c r="A5" s="10">
        <v>46027</v>
      </c>
      <c r="B5" s="2" t="s">
        <v>12</v>
      </c>
      <c r="C5" s="2">
        <v>4</v>
      </c>
      <c r="D5" s="2">
        <v>17.5</v>
      </c>
      <c r="E5" s="2">
        <v>10</v>
      </c>
      <c r="F5" s="2">
        <v>9</v>
      </c>
      <c r="G5" s="2" t="s">
        <v>31</v>
      </c>
      <c r="H5" s="2" t="s">
        <v>32</v>
      </c>
      <c r="I5" s="2">
        <v>4</v>
      </c>
      <c r="J5" s="2">
        <v>1</v>
      </c>
      <c r="K5" s="2">
        <f t="shared" si="0"/>
        <v>175</v>
      </c>
    </row>
    <row r="6" spans="1:11">
      <c r="A6" s="10">
        <v>46027</v>
      </c>
      <c r="B6" s="2" t="s">
        <v>13</v>
      </c>
      <c r="C6" s="2">
        <v>1</v>
      </c>
      <c r="D6" s="2">
        <v>40</v>
      </c>
      <c r="E6" s="2">
        <v>15</v>
      </c>
      <c r="F6" s="2">
        <v>4</v>
      </c>
      <c r="G6" s="2" t="s">
        <v>31</v>
      </c>
      <c r="H6" s="2" t="s">
        <v>32</v>
      </c>
      <c r="I6" s="2">
        <v>2</v>
      </c>
      <c r="J6" s="2">
        <v>1</v>
      </c>
      <c r="K6" s="2">
        <f t="shared" si="0"/>
        <v>600</v>
      </c>
    </row>
    <row r="7" spans="1:11">
      <c r="A7" s="10">
        <v>46027</v>
      </c>
      <c r="B7" s="2" t="s">
        <v>13</v>
      </c>
      <c r="C7" s="2">
        <v>2</v>
      </c>
      <c r="D7" s="2">
        <v>50</v>
      </c>
      <c r="E7" s="2">
        <v>12</v>
      </c>
      <c r="F7" s="2">
        <v>6</v>
      </c>
      <c r="G7" s="2" t="s">
        <v>30</v>
      </c>
      <c r="H7" s="2" t="s">
        <v>32</v>
      </c>
      <c r="I7" s="2">
        <v>1</v>
      </c>
      <c r="J7" s="2">
        <v>1</v>
      </c>
      <c r="K7" s="2">
        <f t="shared" si="0"/>
        <v>600</v>
      </c>
    </row>
    <row r="8" spans="1:11">
      <c r="A8" s="10">
        <v>46027</v>
      </c>
      <c r="B8" s="2" t="s">
        <v>13</v>
      </c>
      <c r="C8" s="2">
        <v>3</v>
      </c>
      <c r="D8" s="2">
        <v>55</v>
      </c>
      <c r="E8" s="2">
        <v>8</v>
      </c>
      <c r="F8" s="2">
        <v>9</v>
      </c>
      <c r="G8" s="2" t="s">
        <v>30</v>
      </c>
      <c r="H8" s="2" t="s">
        <v>32</v>
      </c>
      <c r="I8" s="2">
        <v>2</v>
      </c>
      <c r="J8" s="2">
        <v>1</v>
      </c>
      <c r="K8" s="2">
        <f t="shared" si="0"/>
        <v>440</v>
      </c>
    </row>
    <row r="9" spans="1:11">
      <c r="A9" s="10">
        <v>46027</v>
      </c>
      <c r="B9" s="2" t="s">
        <v>14</v>
      </c>
      <c r="C9" s="2">
        <v>1</v>
      </c>
      <c r="D9" s="2">
        <v>30</v>
      </c>
      <c r="E9" s="2">
        <v>12</v>
      </c>
      <c r="F9" s="2">
        <v>5</v>
      </c>
      <c r="G9" s="2" t="s">
        <v>30</v>
      </c>
      <c r="H9" s="2" t="s">
        <v>32</v>
      </c>
      <c r="I9" s="2">
        <v>2</v>
      </c>
      <c r="J9" s="2">
        <v>1</v>
      </c>
      <c r="K9" s="2">
        <f t="shared" si="0"/>
        <v>360</v>
      </c>
    </row>
    <row r="10" spans="1:11">
      <c r="A10" s="10">
        <v>46027</v>
      </c>
      <c r="B10" s="2" t="s">
        <v>14</v>
      </c>
      <c r="C10" s="2">
        <v>2</v>
      </c>
      <c r="D10" s="2">
        <v>40</v>
      </c>
      <c r="E10" s="2">
        <v>10</v>
      </c>
      <c r="F10" s="2">
        <v>8</v>
      </c>
      <c r="G10" s="2" t="s">
        <v>30</v>
      </c>
      <c r="H10" s="2" t="s">
        <v>32</v>
      </c>
      <c r="I10" s="2">
        <v>2</v>
      </c>
      <c r="J10" s="2">
        <v>1</v>
      </c>
      <c r="K10" s="2">
        <f t="shared" si="0"/>
        <v>400</v>
      </c>
    </row>
    <row r="11" spans="1:11">
      <c r="A11" s="10">
        <v>46027</v>
      </c>
      <c r="B11" s="2" t="s">
        <v>14</v>
      </c>
      <c r="C11" s="2">
        <v>3</v>
      </c>
      <c r="D11" s="2">
        <v>50</v>
      </c>
      <c r="E11" s="2">
        <v>6</v>
      </c>
      <c r="F11" s="2">
        <v>10</v>
      </c>
      <c r="G11" s="2" t="s">
        <v>30</v>
      </c>
      <c r="H11" s="2" t="s">
        <v>32</v>
      </c>
      <c r="I11" s="2">
        <v>3</v>
      </c>
      <c r="J11" s="2">
        <v>1</v>
      </c>
      <c r="K11" s="2">
        <f t="shared" si="0"/>
        <v>300</v>
      </c>
    </row>
    <row r="12" spans="1:11">
      <c r="A12" s="10">
        <v>46027</v>
      </c>
      <c r="B12" s="2" t="s">
        <v>15</v>
      </c>
      <c r="C12" s="2">
        <v>1</v>
      </c>
      <c r="D12" s="2">
        <v>30</v>
      </c>
      <c r="E12" s="2">
        <v>15</v>
      </c>
      <c r="F12" s="2">
        <v>3</v>
      </c>
      <c r="G12" s="2" t="s">
        <v>30</v>
      </c>
      <c r="H12" s="2" t="s">
        <v>32</v>
      </c>
      <c r="I12" s="2">
        <v>3</v>
      </c>
      <c r="J12" s="2">
        <v>1</v>
      </c>
      <c r="K12" s="2">
        <f t="shared" si="0"/>
        <v>450</v>
      </c>
    </row>
    <row r="13" spans="1:11">
      <c r="A13" s="10">
        <v>46027</v>
      </c>
      <c r="B13" s="2" t="s">
        <v>15</v>
      </c>
      <c r="C13" s="2">
        <v>2</v>
      </c>
      <c r="D13" s="2">
        <v>60</v>
      </c>
      <c r="E13" s="2">
        <v>10</v>
      </c>
      <c r="F13" s="2">
        <v>7</v>
      </c>
      <c r="G13" s="2" t="s">
        <v>30</v>
      </c>
      <c r="H13" s="2" t="s">
        <v>32</v>
      </c>
      <c r="I13" s="2">
        <v>3</v>
      </c>
      <c r="J13" s="2">
        <v>1</v>
      </c>
      <c r="K13" s="2">
        <f t="shared" si="0"/>
        <v>600</v>
      </c>
    </row>
    <row r="14" spans="1:11">
      <c r="A14" s="10">
        <v>46027</v>
      </c>
      <c r="B14" s="2" t="s">
        <v>15</v>
      </c>
      <c r="C14" s="2">
        <v>3</v>
      </c>
      <c r="D14" s="2">
        <v>70</v>
      </c>
      <c r="E14" s="2">
        <v>7</v>
      </c>
      <c r="F14" s="2">
        <v>10</v>
      </c>
      <c r="G14" s="2" t="s">
        <v>30</v>
      </c>
      <c r="H14" s="2" t="s">
        <v>32</v>
      </c>
      <c r="I14" s="2">
        <v>3</v>
      </c>
      <c r="J14" s="2">
        <v>1</v>
      </c>
      <c r="K14" s="2">
        <f t="shared" si="0"/>
        <v>490</v>
      </c>
    </row>
    <row r="15" spans="1:11">
      <c r="A15" s="10">
        <v>46028</v>
      </c>
      <c r="B15" s="2" t="s">
        <v>16</v>
      </c>
      <c r="C15" s="2">
        <v>1</v>
      </c>
      <c r="D15" s="2">
        <v>40</v>
      </c>
      <c r="E15" s="2">
        <v>15</v>
      </c>
      <c r="F15" s="2">
        <v>5</v>
      </c>
      <c r="G15" s="2" t="s">
        <v>31</v>
      </c>
      <c r="H15" s="2" t="s">
        <v>32</v>
      </c>
      <c r="I15" s="2">
        <v>2</v>
      </c>
      <c r="J15" s="2">
        <v>2</v>
      </c>
      <c r="K15" s="2">
        <f t="shared" si="0"/>
        <v>600</v>
      </c>
    </row>
    <row r="16" spans="1:11">
      <c r="A16" s="10">
        <v>46028</v>
      </c>
      <c r="B16" s="2" t="s">
        <v>16</v>
      </c>
      <c r="C16" s="2">
        <v>2</v>
      </c>
      <c r="D16" s="2">
        <v>45</v>
      </c>
      <c r="E16" s="2">
        <v>12</v>
      </c>
      <c r="F16" s="2">
        <v>7</v>
      </c>
      <c r="G16" s="2" t="s">
        <v>31</v>
      </c>
      <c r="H16" s="2" t="s">
        <v>32</v>
      </c>
      <c r="I16" s="2">
        <v>3</v>
      </c>
      <c r="J16" s="2">
        <v>2</v>
      </c>
      <c r="K16" s="2">
        <f t="shared" si="0"/>
        <v>540</v>
      </c>
    </row>
    <row r="17" spans="1:11">
      <c r="A17" s="10">
        <v>46028</v>
      </c>
      <c r="B17" s="2" t="s">
        <v>16</v>
      </c>
      <c r="C17" s="2">
        <v>3</v>
      </c>
      <c r="D17" s="2">
        <v>50</v>
      </c>
      <c r="E17" s="2">
        <v>8</v>
      </c>
      <c r="F17" s="2">
        <v>8</v>
      </c>
      <c r="G17" s="2" t="s">
        <v>31</v>
      </c>
      <c r="H17" s="2" t="s">
        <v>32</v>
      </c>
      <c r="I17" s="2">
        <v>3</v>
      </c>
      <c r="J17" s="2">
        <v>2</v>
      </c>
      <c r="K17" s="2">
        <f t="shared" si="0"/>
        <v>400</v>
      </c>
    </row>
    <row r="18" spans="1:11">
      <c r="A18" s="10">
        <v>46028</v>
      </c>
      <c r="B18" s="2" t="s">
        <v>17</v>
      </c>
      <c r="C18" s="2">
        <v>1</v>
      </c>
      <c r="D18" s="2">
        <v>30</v>
      </c>
      <c r="E18" s="2">
        <v>12</v>
      </c>
      <c r="F18" s="2">
        <v>6</v>
      </c>
      <c r="G18" s="2" t="s">
        <v>31</v>
      </c>
      <c r="H18" s="2" t="s">
        <v>32</v>
      </c>
      <c r="I18" s="2">
        <v>1</v>
      </c>
      <c r="J18" s="2">
        <v>2</v>
      </c>
      <c r="K18" s="2">
        <f t="shared" si="0"/>
        <v>360</v>
      </c>
    </row>
    <row r="19" spans="1:11">
      <c r="A19" s="10">
        <v>46028</v>
      </c>
      <c r="B19" s="2" t="s">
        <v>17</v>
      </c>
      <c r="C19" s="2">
        <v>2</v>
      </c>
      <c r="D19" s="2">
        <v>40</v>
      </c>
      <c r="E19" s="2">
        <v>8</v>
      </c>
      <c r="F19" s="2">
        <v>7</v>
      </c>
      <c r="G19" s="2" t="s">
        <v>30</v>
      </c>
      <c r="H19" s="2" t="s">
        <v>32</v>
      </c>
      <c r="I19" s="2">
        <v>1</v>
      </c>
      <c r="J19" s="2">
        <v>2</v>
      </c>
      <c r="K19" s="2">
        <f t="shared" si="0"/>
        <v>320</v>
      </c>
    </row>
    <row r="20" spans="1:11">
      <c r="A20" s="10">
        <v>46028</v>
      </c>
      <c r="B20" s="2" t="s">
        <v>17</v>
      </c>
      <c r="C20" s="2">
        <v>3</v>
      </c>
      <c r="D20" s="2">
        <v>40</v>
      </c>
      <c r="E20" s="2">
        <v>8</v>
      </c>
      <c r="F20" s="2">
        <v>9</v>
      </c>
      <c r="G20" s="2" t="s">
        <v>30</v>
      </c>
      <c r="H20" s="2" t="s">
        <v>32</v>
      </c>
      <c r="I20" s="2">
        <v>2</v>
      </c>
      <c r="J20" s="2">
        <v>2</v>
      </c>
      <c r="K20" s="2">
        <f t="shared" si="0"/>
        <v>320</v>
      </c>
    </row>
    <row r="21" spans="1:11">
      <c r="A21" s="10">
        <v>46028</v>
      </c>
      <c r="B21" s="2" t="s">
        <v>18</v>
      </c>
      <c r="C21" s="2">
        <v>1</v>
      </c>
      <c r="D21" s="2">
        <v>20</v>
      </c>
      <c r="E21" s="2">
        <v>12</v>
      </c>
      <c r="F21" s="2">
        <v>6</v>
      </c>
      <c r="G21" s="2" t="s">
        <v>30</v>
      </c>
      <c r="H21" s="2" t="s">
        <v>32</v>
      </c>
      <c r="I21" s="2">
        <v>1</v>
      </c>
      <c r="J21" s="2">
        <v>2</v>
      </c>
      <c r="K21" s="2">
        <f t="shared" si="0"/>
        <v>240</v>
      </c>
    </row>
    <row r="22" spans="1:11">
      <c r="A22" s="10">
        <v>46028</v>
      </c>
      <c r="B22" s="2" t="s">
        <v>18</v>
      </c>
      <c r="C22" s="2">
        <v>2</v>
      </c>
      <c r="D22" s="2">
        <v>30</v>
      </c>
      <c r="E22" s="2">
        <v>12</v>
      </c>
      <c r="F22" s="2">
        <v>7</v>
      </c>
      <c r="G22" s="2" t="s">
        <v>30</v>
      </c>
      <c r="H22" s="2" t="s">
        <v>32</v>
      </c>
      <c r="I22" s="2">
        <v>2</v>
      </c>
      <c r="J22" s="2">
        <v>2</v>
      </c>
      <c r="K22" s="2">
        <f t="shared" si="0"/>
        <v>360</v>
      </c>
    </row>
    <row r="23" spans="1:11">
      <c r="A23" s="10">
        <v>46028</v>
      </c>
      <c r="B23" s="2" t="s">
        <v>18</v>
      </c>
      <c r="C23" s="2">
        <v>3</v>
      </c>
      <c r="D23" s="2">
        <v>40</v>
      </c>
      <c r="E23" s="2">
        <v>10</v>
      </c>
      <c r="F23" s="2">
        <v>9</v>
      </c>
      <c r="G23" s="2" t="s">
        <v>30</v>
      </c>
      <c r="H23" s="2" t="s">
        <v>32</v>
      </c>
      <c r="I23" s="2">
        <v>2</v>
      </c>
      <c r="J23" s="2">
        <v>2</v>
      </c>
      <c r="K23" s="2">
        <f t="shared" si="0"/>
        <v>400</v>
      </c>
    </row>
    <row r="24" spans="1:11">
      <c r="A24" s="10">
        <v>46028</v>
      </c>
      <c r="B24" s="2" t="s">
        <v>18</v>
      </c>
      <c r="C24" s="2">
        <v>4</v>
      </c>
      <c r="D24" s="2">
        <v>50</v>
      </c>
      <c r="E24" s="2">
        <v>8</v>
      </c>
      <c r="F24" s="2">
        <v>10</v>
      </c>
      <c r="G24" s="2" t="s">
        <v>30</v>
      </c>
      <c r="H24" s="2" t="s">
        <v>32</v>
      </c>
      <c r="I24" s="2">
        <v>2</v>
      </c>
      <c r="J24" s="2">
        <v>2</v>
      </c>
      <c r="K24" s="2">
        <f t="shared" si="0"/>
        <v>400</v>
      </c>
    </row>
    <row r="25" spans="1:11">
      <c r="A25" s="10">
        <v>46028</v>
      </c>
      <c r="B25" s="2" t="s">
        <v>19</v>
      </c>
      <c r="C25" s="2">
        <v>1</v>
      </c>
      <c r="D25" s="2">
        <v>35</v>
      </c>
      <c r="E25" s="2">
        <v>12</v>
      </c>
      <c r="F25" s="2">
        <v>6</v>
      </c>
      <c r="G25" s="2" t="s">
        <v>31</v>
      </c>
      <c r="H25" s="2" t="s">
        <v>32</v>
      </c>
      <c r="I25" s="2">
        <v>5</v>
      </c>
      <c r="J25" s="2">
        <v>2</v>
      </c>
      <c r="K25" s="2">
        <f t="shared" si="0"/>
        <v>420</v>
      </c>
    </row>
    <row r="26" spans="1:11">
      <c r="A26" s="10">
        <v>46028</v>
      </c>
      <c r="B26" s="2" t="s">
        <v>19</v>
      </c>
      <c r="C26" s="2">
        <v>2</v>
      </c>
      <c r="D26" s="2">
        <v>45</v>
      </c>
      <c r="E26" s="2">
        <v>10</v>
      </c>
      <c r="F26" s="2">
        <v>8</v>
      </c>
      <c r="G26" s="2" t="s">
        <v>31</v>
      </c>
      <c r="H26" s="2" t="s">
        <v>32</v>
      </c>
      <c r="I26" s="2">
        <v>5</v>
      </c>
      <c r="J26" s="2">
        <v>2</v>
      </c>
      <c r="K26" s="2">
        <f t="shared" si="0"/>
        <v>450</v>
      </c>
    </row>
    <row r="27" spans="1:11">
      <c r="A27" s="10">
        <v>46028</v>
      </c>
      <c r="B27" s="2" t="s">
        <v>19</v>
      </c>
      <c r="C27" s="2">
        <v>3</v>
      </c>
      <c r="D27" s="2">
        <v>50</v>
      </c>
      <c r="E27" s="2">
        <v>8</v>
      </c>
      <c r="F27" s="2">
        <v>9</v>
      </c>
      <c r="G27" s="2" t="s">
        <v>31</v>
      </c>
      <c r="H27" s="2" t="s">
        <v>32</v>
      </c>
      <c r="I27" s="2">
        <v>3</v>
      </c>
      <c r="J27" s="2">
        <v>2</v>
      </c>
      <c r="K27" s="2">
        <f t="shared" si="0"/>
        <v>400</v>
      </c>
    </row>
    <row r="28" spans="1:11">
      <c r="A28" s="10">
        <v>46028</v>
      </c>
      <c r="B28" s="2" t="s">
        <v>20</v>
      </c>
      <c r="C28" s="2">
        <v>1</v>
      </c>
      <c r="D28" s="2">
        <v>30</v>
      </c>
      <c r="E28" s="2">
        <v>8</v>
      </c>
      <c r="F28" s="2">
        <v>9</v>
      </c>
      <c r="G28" s="2" t="s">
        <v>30</v>
      </c>
      <c r="H28" s="2" t="s">
        <v>32</v>
      </c>
      <c r="I28" s="2">
        <v>3</v>
      </c>
      <c r="J28" s="2">
        <v>2</v>
      </c>
      <c r="K28" s="2">
        <f t="shared" si="0"/>
        <v>240</v>
      </c>
    </row>
    <row r="29" spans="1:11">
      <c r="A29" s="10">
        <v>46028</v>
      </c>
      <c r="B29" s="2" t="s">
        <v>20</v>
      </c>
      <c r="C29" s="2">
        <v>2</v>
      </c>
      <c r="D29" s="2">
        <v>35</v>
      </c>
      <c r="E29" s="2">
        <v>6</v>
      </c>
      <c r="F29" s="2">
        <v>10</v>
      </c>
      <c r="G29" s="2" t="s">
        <v>31</v>
      </c>
      <c r="H29" s="2" t="s">
        <v>32</v>
      </c>
      <c r="I29" s="2">
        <v>3</v>
      </c>
      <c r="J29" s="2">
        <v>2</v>
      </c>
      <c r="K29" s="2">
        <f t="shared" si="0"/>
        <v>210</v>
      </c>
    </row>
    <row r="30" spans="1:11">
      <c r="A30" s="10">
        <v>46028</v>
      </c>
      <c r="B30" s="2" t="s">
        <v>21</v>
      </c>
      <c r="C30" s="2">
        <v>1</v>
      </c>
      <c r="D30" s="2">
        <v>0</v>
      </c>
      <c r="E30" s="2">
        <v>12</v>
      </c>
      <c r="F30" s="2">
        <v>9</v>
      </c>
      <c r="G30" s="2" t="s">
        <v>30</v>
      </c>
      <c r="H30" s="2" t="s">
        <v>32</v>
      </c>
      <c r="I30" s="2">
        <v>1</v>
      </c>
      <c r="J30" s="2">
        <v>2</v>
      </c>
      <c r="K30" s="2">
        <f t="shared" si="0"/>
        <v>456</v>
      </c>
    </row>
    <row r="31" spans="1:11">
      <c r="A31" s="10">
        <v>46028</v>
      </c>
      <c r="B31" s="2" t="s">
        <v>21</v>
      </c>
      <c r="C31" s="2">
        <v>2</v>
      </c>
      <c r="D31" s="2">
        <v>0</v>
      </c>
      <c r="E31" s="2">
        <v>12</v>
      </c>
      <c r="F31" s="2">
        <v>10</v>
      </c>
      <c r="G31" s="2" t="s">
        <v>30</v>
      </c>
      <c r="H31" s="2" t="s">
        <v>32</v>
      </c>
      <c r="I31" s="2">
        <v>2</v>
      </c>
      <c r="J31" s="2">
        <v>2</v>
      </c>
      <c r="K31" s="2">
        <f t="shared" si="0"/>
        <v>456</v>
      </c>
    </row>
    <row r="32" spans="1:11">
      <c r="A32" s="10">
        <v>46028</v>
      </c>
      <c r="B32" s="2" t="s">
        <v>21</v>
      </c>
      <c r="C32" s="2">
        <v>3</v>
      </c>
      <c r="D32" s="2">
        <v>0</v>
      </c>
      <c r="E32" s="2">
        <v>12</v>
      </c>
      <c r="F32" s="2">
        <v>10</v>
      </c>
      <c r="G32" s="2" t="s">
        <v>30</v>
      </c>
      <c r="H32" s="2" t="s">
        <v>32</v>
      </c>
      <c r="I32" s="2">
        <v>3</v>
      </c>
      <c r="J32" s="2">
        <v>2</v>
      </c>
      <c r="K32" s="2">
        <f t="shared" si="0"/>
        <v>456</v>
      </c>
    </row>
    <row r="33" spans="1:11">
      <c r="A33" s="10">
        <v>46029</v>
      </c>
      <c r="B33" s="2" t="s">
        <v>67</v>
      </c>
      <c r="C33" s="2">
        <v>1</v>
      </c>
      <c r="D33" s="2">
        <v>27.5</v>
      </c>
      <c r="E33" s="2">
        <v>20</v>
      </c>
      <c r="F33" s="2">
        <v>1</v>
      </c>
      <c r="G33" s="2" t="s">
        <v>68</v>
      </c>
      <c r="H33" s="2" t="s">
        <v>32</v>
      </c>
      <c r="I33" s="2">
        <v>2</v>
      </c>
      <c r="J33" s="2">
        <v>1</v>
      </c>
      <c r="K33" s="2">
        <f t="shared" si="0"/>
        <v>550</v>
      </c>
    </row>
    <row r="34" spans="1:11">
      <c r="A34" s="10">
        <v>46029</v>
      </c>
      <c r="B34" s="2" t="s">
        <v>67</v>
      </c>
      <c r="C34" s="2">
        <v>2</v>
      </c>
      <c r="D34" s="2">
        <v>42.5</v>
      </c>
      <c r="E34" s="2">
        <v>12</v>
      </c>
      <c r="F34" s="2">
        <v>6</v>
      </c>
      <c r="G34" s="2" t="s">
        <v>68</v>
      </c>
      <c r="H34" s="2" t="s">
        <v>32</v>
      </c>
      <c r="I34" s="2">
        <v>2</v>
      </c>
      <c r="J34" s="2">
        <v>1</v>
      </c>
      <c r="K34" s="2">
        <f t="shared" si="0"/>
        <v>510</v>
      </c>
    </row>
    <row r="35" spans="1:11">
      <c r="A35" s="10">
        <v>46029</v>
      </c>
      <c r="B35" s="2" t="s">
        <v>67</v>
      </c>
      <c r="C35" s="2">
        <v>3</v>
      </c>
      <c r="D35" s="2">
        <v>42.5</v>
      </c>
      <c r="E35" s="2">
        <v>8</v>
      </c>
      <c r="F35" s="2">
        <v>9</v>
      </c>
      <c r="G35" s="2" t="s">
        <v>68</v>
      </c>
      <c r="H35" s="2" t="s">
        <v>32</v>
      </c>
      <c r="I35" s="2">
        <v>4</v>
      </c>
      <c r="J35" s="2">
        <v>1</v>
      </c>
      <c r="K35" s="2">
        <f t="shared" si="0"/>
        <v>340</v>
      </c>
    </row>
    <row r="36" spans="1:11">
      <c r="A36" s="10">
        <v>46029</v>
      </c>
      <c r="B36" s="2" t="s">
        <v>67</v>
      </c>
      <c r="C36" s="2">
        <v>4</v>
      </c>
      <c r="D36" s="2">
        <v>42.5</v>
      </c>
      <c r="E36" s="2">
        <v>6</v>
      </c>
      <c r="F36" s="2">
        <v>10</v>
      </c>
      <c r="G36" s="2" t="s">
        <v>68</v>
      </c>
      <c r="H36" s="2" t="s">
        <v>32</v>
      </c>
      <c r="I36" s="2">
        <v>5</v>
      </c>
      <c r="J36" s="2">
        <v>1</v>
      </c>
      <c r="K36" s="2">
        <f t="shared" si="0"/>
        <v>255</v>
      </c>
    </row>
    <row r="37" spans="1:11">
      <c r="A37" s="10">
        <v>46029</v>
      </c>
      <c r="B37" s="2" t="s">
        <v>69</v>
      </c>
      <c r="C37" s="2">
        <v>1</v>
      </c>
      <c r="D37" s="2">
        <v>10</v>
      </c>
      <c r="E37" s="2">
        <v>20</v>
      </c>
      <c r="F37" s="2">
        <v>2</v>
      </c>
      <c r="G37" s="2" t="s">
        <v>68</v>
      </c>
      <c r="H37" s="2" t="s">
        <v>32</v>
      </c>
      <c r="I37" s="2">
        <v>4</v>
      </c>
      <c r="J37" s="2">
        <v>1</v>
      </c>
      <c r="K37" s="2">
        <f t="shared" si="0"/>
        <v>200</v>
      </c>
    </row>
    <row r="38" spans="1:11">
      <c r="A38" s="10">
        <v>46029</v>
      </c>
      <c r="B38" s="2" t="s">
        <v>69</v>
      </c>
      <c r="C38" s="2">
        <v>2</v>
      </c>
      <c r="D38" s="2">
        <v>15</v>
      </c>
      <c r="E38" s="2">
        <v>15</v>
      </c>
      <c r="F38" s="2">
        <v>4</v>
      </c>
      <c r="G38" s="2" t="s">
        <v>68</v>
      </c>
      <c r="H38" s="2" t="s">
        <v>32</v>
      </c>
      <c r="I38" s="2">
        <v>3</v>
      </c>
      <c r="J38" s="2">
        <v>1</v>
      </c>
      <c r="K38" s="2">
        <f t="shared" si="0"/>
        <v>225</v>
      </c>
    </row>
    <row r="39" spans="1:11">
      <c r="A39" s="10">
        <v>46029</v>
      </c>
      <c r="B39" s="2" t="s">
        <v>69</v>
      </c>
      <c r="C39" s="2">
        <v>3</v>
      </c>
      <c r="D39" s="2">
        <v>15</v>
      </c>
      <c r="E39" s="2">
        <v>12</v>
      </c>
      <c r="F39" s="2">
        <v>5</v>
      </c>
      <c r="G39" s="2" t="s">
        <v>68</v>
      </c>
      <c r="H39" s="2" t="s">
        <v>32</v>
      </c>
      <c r="I39" s="2">
        <v>1</v>
      </c>
      <c r="J39" s="2">
        <v>1</v>
      </c>
      <c r="K39" s="2">
        <f t="shared" si="0"/>
        <v>180</v>
      </c>
    </row>
    <row r="40" spans="1:11">
      <c r="A40" s="10">
        <v>46029</v>
      </c>
      <c r="B40" s="2" t="s">
        <v>69</v>
      </c>
      <c r="C40" s="2">
        <v>4</v>
      </c>
      <c r="D40" s="2">
        <v>20</v>
      </c>
      <c r="E40" s="2">
        <v>8</v>
      </c>
      <c r="F40" s="2">
        <v>7</v>
      </c>
      <c r="G40" s="2" t="s">
        <v>68</v>
      </c>
      <c r="H40" s="2" t="s">
        <v>32</v>
      </c>
      <c r="I40" s="2">
        <v>2</v>
      </c>
      <c r="J40" s="2">
        <v>1</v>
      </c>
      <c r="K40" s="2">
        <f t="shared" si="0"/>
        <v>160</v>
      </c>
    </row>
    <row r="41" spans="1:11">
      <c r="A41" s="10">
        <v>46029</v>
      </c>
      <c r="B41" s="2" t="s">
        <v>70</v>
      </c>
      <c r="C41" s="2">
        <v>1</v>
      </c>
      <c r="D41" s="2">
        <v>20</v>
      </c>
      <c r="E41" s="2">
        <v>10</v>
      </c>
      <c r="F41" s="2">
        <v>6</v>
      </c>
      <c r="G41" s="2" t="s">
        <v>68</v>
      </c>
      <c r="H41" s="2" t="s">
        <v>32</v>
      </c>
      <c r="I41" s="2">
        <v>3</v>
      </c>
      <c r="J41" s="2">
        <v>1</v>
      </c>
      <c r="K41" s="2">
        <f t="shared" si="0"/>
        <v>200</v>
      </c>
    </row>
    <row r="42" spans="1:11">
      <c r="A42" s="10">
        <v>46029</v>
      </c>
      <c r="B42" s="2" t="s">
        <v>70</v>
      </c>
      <c r="C42" s="2">
        <v>2</v>
      </c>
      <c r="D42" s="2">
        <v>25</v>
      </c>
      <c r="E42" s="2">
        <v>6</v>
      </c>
      <c r="F42" s="2">
        <v>8</v>
      </c>
      <c r="G42" s="2" t="s">
        <v>68</v>
      </c>
      <c r="H42" s="2" t="s">
        <v>32</v>
      </c>
      <c r="I42" s="2">
        <v>2</v>
      </c>
      <c r="J42" s="2">
        <v>1</v>
      </c>
      <c r="K42" s="2">
        <f t="shared" si="0"/>
        <v>150</v>
      </c>
    </row>
    <row r="43" spans="1:11">
      <c r="A43" s="10">
        <v>46029</v>
      </c>
      <c r="B43" s="2" t="s">
        <v>70</v>
      </c>
      <c r="C43" s="2">
        <v>3</v>
      </c>
      <c r="D43" s="2">
        <v>25</v>
      </c>
      <c r="E43" s="2">
        <v>6</v>
      </c>
      <c r="F43" s="2">
        <v>9</v>
      </c>
      <c r="G43" s="2" t="s">
        <v>68</v>
      </c>
      <c r="H43" s="2" t="s">
        <v>32</v>
      </c>
      <c r="I43" s="2">
        <v>2</v>
      </c>
      <c r="J43" s="2">
        <v>1</v>
      </c>
      <c r="K43" s="2">
        <f t="shared" si="0"/>
        <v>150</v>
      </c>
    </row>
    <row r="44" spans="1:11">
      <c r="A44" s="10">
        <v>46029</v>
      </c>
      <c r="B44" s="2" t="s">
        <v>71</v>
      </c>
      <c r="C44" s="2">
        <v>1</v>
      </c>
      <c r="D44" s="2">
        <v>35</v>
      </c>
      <c r="E44" s="2">
        <v>12</v>
      </c>
      <c r="F44" s="2">
        <v>6</v>
      </c>
      <c r="G44" s="2" t="s">
        <v>68</v>
      </c>
      <c r="H44" s="2" t="s">
        <v>32</v>
      </c>
      <c r="I44" s="2">
        <v>3</v>
      </c>
      <c r="J44" s="2">
        <v>1</v>
      </c>
      <c r="K44" s="2">
        <f t="shared" si="0"/>
        <v>420</v>
      </c>
    </row>
    <row r="45" spans="1:11">
      <c r="A45" s="10">
        <v>46029</v>
      </c>
      <c r="B45" s="2" t="s">
        <v>71</v>
      </c>
      <c r="C45" s="2">
        <v>2</v>
      </c>
      <c r="D45" s="2">
        <v>40</v>
      </c>
      <c r="E45" s="2">
        <v>12</v>
      </c>
      <c r="F45" s="2">
        <v>8</v>
      </c>
      <c r="G45" s="2" t="s">
        <v>68</v>
      </c>
      <c r="H45" s="2" t="s">
        <v>32</v>
      </c>
      <c r="I45" s="2">
        <v>4</v>
      </c>
      <c r="J45" s="2">
        <v>1</v>
      </c>
      <c r="K45" s="2">
        <f t="shared" si="0"/>
        <v>480</v>
      </c>
    </row>
    <row r="46" spans="1:11">
      <c r="A46" s="10">
        <v>46029</v>
      </c>
      <c r="B46" s="2" t="s">
        <v>71</v>
      </c>
      <c r="C46" s="2">
        <v>3</v>
      </c>
      <c r="D46" s="2">
        <v>50</v>
      </c>
      <c r="E46" s="2">
        <v>10</v>
      </c>
      <c r="F46" s="2">
        <v>8</v>
      </c>
      <c r="G46" s="2" t="s">
        <v>68</v>
      </c>
      <c r="H46" s="2" t="s">
        <v>32</v>
      </c>
      <c r="I46" s="2">
        <v>4</v>
      </c>
      <c r="J46" s="2">
        <v>1</v>
      </c>
      <c r="K46" s="2">
        <f t="shared" si="0"/>
        <v>500</v>
      </c>
    </row>
  </sheetData>
  <conditionalFormatting sqref="K1:K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H1:H1048576" xr:uid="{D40BA61C-F830-478F-A4EB-45358D09E6A4}">
      <formula1>"Yes, No"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817522-E0D0-4778-92C5-C7A86B4A7746}">
          <x14:formula1>
            <xm:f>Config!$A$2:$A$7</xm:f>
          </x14:formula1>
          <xm:sqref>G1:G1048576</xm:sqref>
        </x14:dataValidation>
        <x14:dataValidation type="list" allowBlank="1" showInputMessage="1" showErrorMessage="1" xr:uid="{5BE66A85-FD11-417E-9800-84D18A6D039F}">
          <x14:formula1>
            <xm:f>Config!$C$2:$C$7</xm:f>
          </x14:formula1>
          <xm:sqref>J1:J1048576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E0D29-CDA8-4DD7-B79E-7B6AF7CDDDC9}">
  <sheetPr codeName="Sheet3"/>
  <dimension ref="A1:C8"/>
  <sheetViews>
    <sheetView workbookViewId="0">
      <selection activeCell="C23" sqref="C23"/>
    </sheetView>
  </sheetViews>
  <sheetFormatPr defaultRowHeight="14.4"/>
  <cols>
    <col min="1" max="1" width="24.5546875" style="2" customWidth="1"/>
    <col min="2" max="2" width="29.109375" style="2" customWidth="1"/>
    <col min="3" max="3" width="21.88671875" style="2" customWidth="1"/>
    <col min="4" max="16384" width="8.88671875" style="2"/>
  </cols>
  <sheetData>
    <row r="1" spans="1:3" ht="28.2" thickBot="1">
      <c r="A1" s="5" t="s">
        <v>36</v>
      </c>
      <c r="B1" s="5" t="s">
        <v>37</v>
      </c>
      <c r="C1" s="5" t="s">
        <v>38</v>
      </c>
    </row>
    <row r="2" spans="1:3" ht="15" thickBot="1">
      <c r="A2" s="12" t="s">
        <v>31</v>
      </c>
      <c r="B2" s="12" t="s">
        <v>39</v>
      </c>
      <c r="C2" s="12">
        <v>1</v>
      </c>
    </row>
    <row r="3" spans="1:3" ht="15" thickBot="1">
      <c r="A3" s="12" t="s">
        <v>40</v>
      </c>
      <c r="B3" s="12" t="s">
        <v>34</v>
      </c>
      <c r="C3" s="12">
        <v>2</v>
      </c>
    </row>
    <row r="4" spans="1:3" ht="15" thickBot="1">
      <c r="A4" s="12" t="s">
        <v>41</v>
      </c>
      <c r="B4" s="12" t="s">
        <v>42</v>
      </c>
      <c r="C4" s="12">
        <v>3</v>
      </c>
    </row>
    <row r="5" spans="1:3" ht="15" thickBot="1">
      <c r="A5" s="12" t="s">
        <v>43</v>
      </c>
      <c r="B5" s="12" t="s">
        <v>44</v>
      </c>
      <c r="C5" s="12">
        <v>5</v>
      </c>
    </row>
    <row r="6" spans="1:3" ht="15" thickBot="1">
      <c r="A6" s="12" t="s">
        <v>30</v>
      </c>
      <c r="B6" s="12" t="s">
        <v>35</v>
      </c>
      <c r="C6" s="12">
        <v>8</v>
      </c>
    </row>
    <row r="7" spans="1:3" ht="15" thickBot="1">
      <c r="A7" s="12" t="s">
        <v>68</v>
      </c>
      <c r="B7" s="12" t="s">
        <v>46</v>
      </c>
      <c r="C7" s="12">
        <v>10</v>
      </c>
    </row>
    <row r="8" spans="1:3" ht="15" thickBot="1">
      <c r="A8" s="12" t="s">
        <v>45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D9150-A5B1-4C99-9CD0-06DBA08D1212}">
  <dimension ref="B3:F7"/>
  <sheetViews>
    <sheetView showGridLines="0" zoomScale="92" workbookViewId="0">
      <selection activeCell="G14" sqref="G14"/>
    </sheetView>
  </sheetViews>
  <sheetFormatPr defaultRowHeight="14.4"/>
  <cols>
    <col min="1" max="1" width="8.88671875" style="2"/>
    <col min="2" max="2" width="25.77734375" style="2" customWidth="1"/>
    <col min="3" max="3" width="2.77734375" style="2" customWidth="1"/>
    <col min="4" max="4" width="25.77734375" style="2" customWidth="1"/>
    <col min="5" max="5" width="2.77734375" style="2" customWidth="1"/>
    <col min="6" max="6" width="25.77734375" style="2" customWidth="1"/>
    <col min="7" max="16384" width="8.88671875" style="2"/>
  </cols>
  <sheetData>
    <row r="3" spans="2:6" ht="15.6">
      <c r="B3" s="3" t="s">
        <v>50</v>
      </c>
      <c r="D3" s="3" t="s">
        <v>48</v>
      </c>
      <c r="F3" s="3" t="s">
        <v>49</v>
      </c>
    </row>
    <row r="4" spans="2:6" ht="31.2">
      <c r="B4" s="4" t="str">
        <f>_xlfn.MAXIFS(Workout_Log!D:D, Workout_Log!B:B, "Bench Press") &amp; " KG"</f>
        <v>55 KG</v>
      </c>
      <c r="D4" s="4" t="str">
        <f>_xlfn.MAXIFS(Workout_Log!D:D, Workout_Log!B:B, "Squat") &amp; " KG"</f>
        <v>0 KG</v>
      </c>
      <c r="F4" s="4" t="str">
        <f>ROUND(AVERAGE(Daily_Log!B:B), 1) &amp; " HRS"</f>
        <v>4 HRS</v>
      </c>
    </row>
    <row r="6" spans="2:6">
      <c r="B6" s="2" t="s">
        <v>47</v>
      </c>
    </row>
    <row r="7" spans="2:6" ht="40.799999999999997" customHeight="1">
      <c r="B7" s="9" t="str">
        <f>REPT("|", LOOKUP(2,1/(Daily_Log!B:B&lt;&gt;""),Daily_Log!B:B) * 3)</f>
        <v>||||||||||||</v>
      </c>
      <c r="C7" s="9"/>
      <c r="D7" s="9"/>
      <c r="E7" s="9"/>
      <c r="F7" s="9"/>
    </row>
  </sheetData>
  <mergeCells count="1">
    <mergeCell ref="B7:F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BioEngine">
                <anchor moveWithCells="1" sizeWithCells="1">
                  <from>
                    <xdr:col>2</xdr:col>
                    <xdr:colOff>609600</xdr:colOff>
                    <xdr:row>8</xdr:row>
                    <xdr:rowOff>182880</xdr:rowOff>
                  </from>
                  <to>
                    <xdr:col>5</xdr:col>
                    <xdr:colOff>609600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36BBA-56F2-4A30-99B6-3CBDE544878D}">
  <sheetPr>
    <tabColor theme="1" tint="0.499984740745262"/>
  </sheetPr>
  <dimension ref="B1:F14"/>
  <sheetViews>
    <sheetView showGridLines="0" showRowColHeaders="0" workbookViewId="0">
      <selection activeCell="A8" sqref="A8"/>
    </sheetView>
  </sheetViews>
  <sheetFormatPr defaultRowHeight="14.4"/>
  <cols>
    <col min="1" max="1" width="8.88671875" style="2"/>
    <col min="2" max="2" width="21.88671875" style="2" customWidth="1"/>
    <col min="3" max="3" width="52" style="2" customWidth="1"/>
    <col min="4" max="4" width="8.88671875" style="2"/>
    <col min="5" max="5" width="20.88671875" style="2" customWidth="1"/>
    <col min="6" max="6" width="17.77734375" style="2" customWidth="1"/>
    <col min="7" max="16384" width="8.88671875" style="2"/>
  </cols>
  <sheetData>
    <row r="1" spans="2:6" ht="15" thickBot="1"/>
    <row r="2" spans="2:6" ht="15" thickBot="1">
      <c r="B2" s="2" t="s">
        <v>52</v>
      </c>
      <c r="C2" s="2" t="s">
        <v>56</v>
      </c>
      <c r="E2" s="5" t="s">
        <v>57</v>
      </c>
      <c r="F2" s="5" t="s">
        <v>58</v>
      </c>
    </row>
    <row r="3" spans="2:6" ht="15" thickBot="1">
      <c r="B3" s="2" t="s">
        <v>53</v>
      </c>
      <c r="C3" s="2" t="str">
        <f>_xlfn.IFS(C5&lt;10000, "👶 LVL 1: NOVICE", C5&lt;50000, "⚒️ LVL 15: IRON BORN", C5&lt;150000, "🦁 LVL 40: BEAST", C5&lt;300000, "⚔️ LVL 75: WARRIOR", TRUE, "👑 LVL 100: GOD MODE")</f>
        <v>⚒️ LVL 15: IRON BORN</v>
      </c>
      <c r="E3" s="5" t="s">
        <v>59</v>
      </c>
      <c r="F3" s="6">
        <f>SUMIFS(Workout_Log!K:K, Workout_Log!B:B, "*Press*")</f>
        <v>4435</v>
      </c>
    </row>
    <row r="4" spans="2:6" ht="15" thickBot="1">
      <c r="E4" s="5" t="s">
        <v>60</v>
      </c>
      <c r="F4" s="6">
        <f>SUMIFS(Workout_Log!K:K, Workout_Log!B:B, "*Row*") + SUMIFS(Workout_Log!K:K, Workout_Log!B:B, "*Pull*")</f>
        <v>5660</v>
      </c>
    </row>
    <row r="5" spans="2:6" ht="15" thickBot="1">
      <c r="B5" s="2" t="s">
        <v>54</v>
      </c>
      <c r="C5" s="2">
        <f>SUM(Workout_Log!K:K)</f>
        <v>16343</v>
      </c>
      <c r="E5" s="5" t="s">
        <v>61</v>
      </c>
      <c r="F5" s="6">
        <f>SUMIFS(Workout_Log!K:K, Workout_Log!B:B, "*Squat*") + SUMIFS(Workout_Log!K:K, Workout_Log!B:B, "*Extension*")</f>
        <v>1368</v>
      </c>
    </row>
    <row r="6" spans="2:6">
      <c r="B6" s="2" t="s">
        <v>55</v>
      </c>
      <c r="C6" s="2">
        <f>IF(C5&lt;5000, 5000-C5, IF(C5&lt;15000, 15000-C5, IF(C5&lt;50000, 50000-C5, "MAX LEVEL REACHED")))</f>
        <v>33657</v>
      </c>
    </row>
    <row r="8" spans="2:6" ht="18">
      <c r="B8" s="2" t="s">
        <v>62</v>
      </c>
      <c r="C8" s="7" t="str">
        <f>_xlfn.IFS(F5=MIN(F3:F5), "🔥 POWER DEPLETION: Focus on LEGS today!", F3=MIN(F3:F5), "⚔️ STRENGTH GAP: Heavy PUSH day required!", F4=MIN(F3:F5), "🏹 STAMINA LOW: Increase your PULL volume!")</f>
        <v>🔥 POWER DEPLETION: Focus on LEGS today!</v>
      </c>
    </row>
    <row r="10" spans="2:6">
      <c r="B10" s="2" t="s">
        <v>66</v>
      </c>
      <c r="C10" s="8" t="str">
        <f>IF(Workout_Log!D2 &gt;= MAX(Workout_Log!D3:D1000), "🔥 NEW RECORD ACHIEVED!", "⚔️ TRAINING IN PROGRESS")</f>
        <v>⚔️ TRAINING IN PROGRESS</v>
      </c>
    </row>
    <row r="12" spans="2:6">
      <c r="B12" s="2" t="s">
        <v>63</v>
      </c>
      <c r="C12" s="2">
        <f>_xlfn.MAXIFS(Workout_Log!D:D, Workout_Log!B:B, "*Squat*")</f>
        <v>0</v>
      </c>
    </row>
    <row r="13" spans="2:6">
      <c r="B13" s="2" t="s">
        <v>64</v>
      </c>
      <c r="C13" s="2">
        <f>_xlfn.MAXIFS(Workout_Log!D:D, Workout_Log!B:B, "*Press*")</f>
        <v>70</v>
      </c>
    </row>
    <row r="14" spans="2:6">
      <c r="B14" s="2" t="s">
        <v>65</v>
      </c>
      <c r="C14" s="2">
        <f>_xlfn.MAXIFS(Workout_Log!D:D, Workout_Log!B:B, "*Deadlift*")</f>
        <v>0</v>
      </c>
    </row>
  </sheetData>
  <conditionalFormatting sqref="B5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{369D077E-2D65-4B06-B85B-4CBBC0590AF6}</x14:id>
        </ext>
      </extLst>
    </cfRule>
  </conditionalFormatting>
  <conditionalFormatting sqref="C3">
    <cfRule type="containsText" dxfId="4" priority="6" operator="containsText" text="GOD MODE">
      <formula>NOT(ISERROR(SEARCH("GOD MODE",C3)))</formula>
    </cfRule>
  </conditionalFormatting>
  <conditionalFormatting sqref="C5">
    <cfRule type="dataBar" priority="5">
      <dataBar>
        <cfvo type="num" val="0"/>
        <cfvo type="num" val="15000"/>
        <color rgb="FFFFB628"/>
      </dataBar>
      <extLst>
        <ext xmlns:x14="http://schemas.microsoft.com/office/spreadsheetml/2009/9/main" uri="{B025F937-C7B1-47D3-B67F-A62EFF666E3E}">
          <x14:id>{B8E512FC-D810-4B33-8CAD-3F4D25193B67}</x14:id>
        </ext>
      </extLst>
    </cfRule>
  </conditionalFormatting>
  <conditionalFormatting sqref="C8">
    <cfRule type="containsText" dxfId="3" priority="4" operator="containsText" text="DEPLETION">
      <formula>NOT(ISERROR(SEARCH("DEPLETION",C8)))</formula>
    </cfRule>
    <cfRule type="containsText" dxfId="2" priority="3" operator="containsText" text="GAP">
      <formula>NOT(ISERROR(SEARCH("GAP",C8)))</formula>
    </cfRule>
    <cfRule type="containsText" dxfId="1" priority="2" operator="containsText" text="LOW">
      <formula>NOT(ISERROR(SEARCH("LOW",C8)))</formula>
    </cfRule>
  </conditionalFormatting>
  <conditionalFormatting sqref="C10">
    <cfRule type="containsText" dxfId="0" priority="1" operator="containsText" text="RECORD">
      <formula>NOT(ISERROR(SEARCH("RECORD",C10)))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9D077E-2D65-4B06-B85B-4CBBC0590AF6}">
            <x14:dataBar minLength="0" maxLength="100" gradient="0">
              <x14:cfvo type="autoMin"/>
              <x14:cfvo type="max"/>
              <x14:negativeFillColor rgb="FFFF0000"/>
              <x14:axisColor rgb="FF000000"/>
            </x14:dataBar>
          </x14:cfRule>
          <xm:sqref>B5</xm:sqref>
        </x14:conditionalFormatting>
        <x14:conditionalFormatting xmlns:xm="http://schemas.microsoft.com/office/excel/2006/main">
          <x14:cfRule type="dataBar" id="{B8E512FC-D810-4B33-8CAD-3F4D25193B67}">
            <x14:dataBar minLength="0" maxLength="100" border="1" negativeBarBorderColorSameAsPositive="0">
              <x14:cfvo type="num">
                <xm:f>0</xm:f>
              </x14:cfvo>
              <x14:cfvo type="num">
                <xm:f>15000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C5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Daily_Log</vt:lpstr>
      <vt:lpstr>Workout_Log</vt:lpstr>
      <vt:lpstr>Config</vt:lpstr>
      <vt:lpstr>Dashboard</vt:lpstr>
      <vt:lpstr>Player_Profile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2026-01-06T04:01:52Z</dcterms:created>
  <dcterms:modified xsi:type="dcterms:W3CDTF">2026-01-07T07:57:57Z</dcterms:modified>
</cp:coreProperties>
</file>