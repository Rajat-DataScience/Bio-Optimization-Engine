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OneDrive\Desktop\Project_BioAlgorithm\"/>
    </mc:Choice>
  </mc:AlternateContent>
  <xr:revisionPtr revIDLastSave="0" documentId="13_ncr:1_{4E95BEEE-B0D9-4C3F-8E2D-5F21134E178A}" xr6:coauthVersionLast="36" xr6:coauthVersionMax="36" xr10:uidLastSave="{00000000-0000-0000-0000-000000000000}"/>
  <bookViews>
    <workbookView xWindow="0" yWindow="0" windowWidth="23040" windowHeight="8940" xr2:uid="{E7B56230-8AEC-44BC-9BAF-E13A05F0F023}"/>
  </bookViews>
  <sheets>
    <sheet name="Daily_Log" sheetId="1" r:id="rId1"/>
    <sheet name="Workout_Log" sheetId="2" r:id="rId2"/>
    <sheet name="Config" sheetId="3" r:id="rId3"/>
    <sheet name="Dashboard" sheetId="4" r:id="rId4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4" l="1"/>
  <c r="D4" i="4"/>
  <c r="B4" i="4"/>
  <c r="B7" i="4" l="1"/>
</calcChain>
</file>

<file path=xl/sharedStrings.xml><?xml version="1.0" encoding="utf-8"?>
<sst xmlns="http://schemas.openxmlformats.org/spreadsheetml/2006/main" count="137" uniqueCount="51">
  <si>
    <t>Date</t>
  </si>
  <si>
    <t>Sleep_Hours</t>
  </si>
  <si>
    <t>Water_Liters</t>
  </si>
  <si>
    <t>Creatine</t>
  </si>
  <si>
    <t>Coding_Hours</t>
  </si>
  <si>
    <t>Mood_Score</t>
  </si>
  <si>
    <t>Exercise_Name</t>
  </si>
  <si>
    <t>Reps</t>
  </si>
  <si>
    <t>RPE</t>
  </si>
  <si>
    <t>Set_Number</t>
  </si>
  <si>
    <t>Weight_KG</t>
  </si>
  <si>
    <t>Yes</t>
  </si>
  <si>
    <t>Inclined Dumbbell Press</t>
  </si>
  <si>
    <t>Bench Press</t>
  </si>
  <si>
    <t>Cable Crossover</t>
  </si>
  <si>
    <t>Machine Inclined Press</t>
  </si>
  <si>
    <t>Lat Pulldown</t>
  </si>
  <si>
    <t>Reverse Lat  Pulldown</t>
  </si>
  <si>
    <t>Bendover Row</t>
  </si>
  <si>
    <t>Seated Row</t>
  </si>
  <si>
    <t>Lat Pullover</t>
  </si>
  <si>
    <t>Hyperextension</t>
  </si>
  <si>
    <t>Screen_Time_Phone</t>
  </si>
  <si>
    <t>Protein_Grams</t>
  </si>
  <si>
    <t>Caffeine_Mg</t>
  </si>
  <si>
    <t>Soreness_Level</t>
  </si>
  <si>
    <t>Music_Genre</t>
  </si>
  <si>
    <t>Pre_Workout</t>
  </si>
  <si>
    <t>Rest_Time_Minutes</t>
  </si>
  <si>
    <t>Gym_Crowd_Level</t>
  </si>
  <si>
    <t>Gym_Bollywood</t>
  </si>
  <si>
    <t>Gym_Punjabi</t>
  </si>
  <si>
    <t>No</t>
  </si>
  <si>
    <t>Physical_Condition</t>
  </si>
  <si>
    <t>Sore_Chest</t>
  </si>
  <si>
    <t>Stiff_LowerBack</t>
  </si>
  <si>
    <t>(Column A) Music_List</t>
  </si>
  <si>
    <t>(Column B) Condition_List</t>
  </si>
  <si>
    <t>(Column C) Crowd_List</t>
  </si>
  <si>
    <t>Fresh</t>
  </si>
  <si>
    <t>Gym_Pop</t>
  </si>
  <si>
    <t>Gym_Mix</t>
  </si>
  <si>
    <t>Sore_Legs</t>
  </si>
  <si>
    <t>Gym_EDM</t>
  </si>
  <si>
    <t>Sore_Lats</t>
  </si>
  <si>
    <t>No_Music</t>
  </si>
  <si>
    <t>Pain_Shoulder</t>
  </si>
  <si>
    <t>RECOVERY BATTERY</t>
  </si>
  <si>
    <t>SQUAT PR</t>
  </si>
  <si>
    <t>AVG SLEEP</t>
  </si>
  <si>
    <t>BENCH PRESS 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</si>
</sst>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20"/>
      <color rgb="FF92D050"/>
      <name val="Playbill"/>
      <family val="5"/>
    </font>
    <font>
      <sz val="11"/>
      <color rgb="FF000000"/>
      <name val="Calibri"/>
      <family val="2"/>
    </font>
    <font>
      <sz val="12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36"/>
      <color rgb="FF92D050"/>
      <name val="Playbill"/>
      <family val="5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3" fillId="0" borderId="1" xfId="0" applyFont="1" applyBorder="1" applyAlignment="1">
      <alignment horizontal="left" vertical="center" wrapText="1" indent="1" readingOrder="1"/>
    </xf>
    <xf numFmtId="0" fontId="2" fillId="0" borderId="1" xfId="0" applyFont="1" applyBorder="1" applyAlignment="1">
      <alignment horizontal="left" vertical="center" wrapText="1" indent="1" readingOrder="1"/>
    </xf>
    <xf numFmtId="0" fontId="4" fillId="0" borderId="0" xfId="0" applyFont="1"/>
    <xf numFmtId="0" fontId="0" fillId="0" borderId="0" xfId="0" applyAlignment="1">
      <alignment horizontal="center"/>
    </xf>
    <xf numFmtId="0" fontId="6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0" fillId="0" borderId="0" xfId="0" applyAlignment="1"/>
    <xf numFmtId="0" fontId="8" fillId="0" borderId="0" xfId="0" applyFont="1" applyFill="1" applyAlignment="1">
      <alignment horizontal="left" vertical="center"/>
    </xf>
  </cellXfs>
  <cellStyles count="1">
    <cellStyle name="Normal" xfId="0" builtinId="0"/>
  </cellStyles>
  <dxfs count="6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8</xdr:row>
          <xdr:rowOff>182880</xdr:rowOff>
        </xdr:from>
        <xdr:to>
          <xdr:col>5</xdr:col>
          <xdr:colOff>609600</xdr:colOff>
          <xdr:row>10</xdr:row>
          <xdr:rowOff>182880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🚀 ANALYZE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551B2-57FC-44E0-9C67-4FB91070B997}">
  <sheetPr codeName="Sheet1"/>
  <dimension ref="A1:M11"/>
  <sheetViews>
    <sheetView tabSelected="1" zoomScale="92" workbookViewId="0">
      <selection activeCell="I21" sqref="I21"/>
    </sheetView>
  </sheetViews>
  <sheetFormatPr defaultRowHeight="14.4" x14ac:dyDescent="0.3"/>
  <cols>
    <col min="1" max="1" width="11.77734375" customWidth="1"/>
    <col min="2" max="2" width="15.5546875" customWidth="1"/>
    <col min="3" max="3" width="14.33203125" customWidth="1"/>
    <col min="4" max="4" width="12.21875" customWidth="1"/>
    <col min="5" max="5" width="16" customWidth="1"/>
    <col min="6" max="6" width="14.5546875" customWidth="1"/>
    <col min="7" max="7" width="22.33203125" customWidth="1"/>
    <col min="8" max="8" width="18.44140625" customWidth="1"/>
    <col min="9" max="9" width="15.88671875" customWidth="1"/>
    <col min="10" max="10" width="19.109375" customWidth="1"/>
    <col min="11" max="11" width="21.6640625" customWidth="1"/>
  </cols>
  <sheetData>
    <row r="1" spans="1:13" s="2" customForma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33</v>
      </c>
    </row>
    <row r="2" spans="1:13" x14ac:dyDescent="0.3">
      <c r="A2" s="1">
        <v>46143</v>
      </c>
      <c r="B2">
        <v>3</v>
      </c>
      <c r="C2">
        <v>3.5</v>
      </c>
      <c r="D2" t="s">
        <v>11</v>
      </c>
      <c r="E2">
        <v>2</v>
      </c>
      <c r="F2">
        <v>8</v>
      </c>
      <c r="G2">
        <v>8</v>
      </c>
      <c r="H2">
        <v>130</v>
      </c>
      <c r="I2">
        <v>0</v>
      </c>
      <c r="J2">
        <v>6</v>
      </c>
      <c r="K2" t="s">
        <v>34</v>
      </c>
    </row>
    <row r="3" spans="1:13" x14ac:dyDescent="0.3">
      <c r="A3" s="1">
        <v>46174</v>
      </c>
      <c r="B3">
        <v>5</v>
      </c>
      <c r="C3">
        <v>4</v>
      </c>
      <c r="D3" t="s">
        <v>11</v>
      </c>
      <c r="E3">
        <v>1</v>
      </c>
      <c r="F3">
        <v>7</v>
      </c>
      <c r="G3">
        <v>5</v>
      </c>
      <c r="H3">
        <v>140</v>
      </c>
      <c r="I3">
        <v>0</v>
      </c>
      <c r="J3">
        <v>7</v>
      </c>
      <c r="K3" t="s">
        <v>35</v>
      </c>
    </row>
    <row r="11" spans="1:13" ht="24" x14ac:dyDescent="0.35">
      <c r="M11" s="5"/>
    </row>
  </sheetData>
  <conditionalFormatting sqref="B1:B1048576">
    <cfRule type="cellIs" dxfId="4" priority="3" operator="lessThan">
      <formula>6</formula>
    </cfRule>
    <cfRule type="cellIs" dxfId="3" priority="2" operator="greaterThan">
      <formula>7</formula>
    </cfRule>
  </conditionalFormatting>
  <conditionalFormatting sqref="I1:I1048576">
    <cfRule type="cellIs" dxfId="0" priority="1" operator="greaterThan">
      <formula>300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6E1738-988F-4E56-8C9F-B9899C91E020}">
          <x14:formula1>
            <xm:f>Config!$B$2:$B$7</xm:f>
          </x14:formula1>
          <xm:sqref>K1:K1048576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030CD-B9A8-436E-8287-AF44FEB180C9}">
  <sheetPr codeName="Sheet2"/>
  <dimension ref="A1:J35"/>
  <sheetViews>
    <sheetView topLeftCell="A11" zoomScale="82" workbookViewId="0">
      <selection activeCell="D37" sqref="D37"/>
    </sheetView>
  </sheetViews>
  <sheetFormatPr defaultRowHeight="14.4" x14ac:dyDescent="0.3"/>
  <cols>
    <col min="2" max="2" width="21.6640625" customWidth="1"/>
    <col min="3" max="3" width="13.109375" customWidth="1"/>
    <col min="4" max="4" width="13" customWidth="1"/>
    <col min="5" max="5" width="10.5546875" customWidth="1"/>
    <col min="6" max="6" width="9.44140625" customWidth="1"/>
    <col min="7" max="7" width="20.109375" customWidth="1"/>
    <col min="8" max="8" width="14" customWidth="1"/>
    <col min="9" max="9" width="20.21875" customWidth="1"/>
    <col min="10" max="10" width="19.88671875" customWidth="1"/>
  </cols>
  <sheetData>
    <row r="1" spans="1:10" s="2" customFormat="1" x14ac:dyDescent="0.3">
      <c r="A1" s="2" t="s">
        <v>0</v>
      </c>
      <c r="B1" s="2" t="s">
        <v>6</v>
      </c>
      <c r="C1" s="2" t="s">
        <v>9</v>
      </c>
      <c r="D1" s="2" t="s">
        <v>10</v>
      </c>
      <c r="E1" s="2" t="s">
        <v>7</v>
      </c>
      <c r="F1" s="2" t="s">
        <v>8</v>
      </c>
      <c r="G1" s="2" t="s">
        <v>26</v>
      </c>
      <c r="H1" s="2" t="s">
        <v>27</v>
      </c>
      <c r="I1" s="2" t="s">
        <v>28</v>
      </c>
      <c r="J1" s="2" t="s">
        <v>29</v>
      </c>
    </row>
    <row r="2" spans="1:10" x14ac:dyDescent="0.3">
      <c r="A2" s="1">
        <v>46143</v>
      </c>
      <c r="B2" t="s">
        <v>12</v>
      </c>
      <c r="C2">
        <v>1</v>
      </c>
      <c r="D2">
        <v>10</v>
      </c>
      <c r="E2">
        <v>16</v>
      </c>
      <c r="F2">
        <v>2</v>
      </c>
      <c r="G2" t="s">
        <v>31</v>
      </c>
      <c r="H2" t="s">
        <v>32</v>
      </c>
      <c r="I2">
        <v>2</v>
      </c>
      <c r="J2">
        <v>1</v>
      </c>
    </row>
    <row r="3" spans="1:10" x14ac:dyDescent="0.3">
      <c r="A3" s="1">
        <v>46143</v>
      </c>
      <c r="B3" t="s">
        <v>12</v>
      </c>
      <c r="C3">
        <v>2</v>
      </c>
      <c r="D3">
        <v>15</v>
      </c>
      <c r="E3">
        <v>14</v>
      </c>
      <c r="F3">
        <v>4</v>
      </c>
      <c r="G3" t="s">
        <v>31</v>
      </c>
      <c r="H3" t="s">
        <v>32</v>
      </c>
      <c r="I3">
        <v>1</v>
      </c>
      <c r="J3">
        <v>1</v>
      </c>
    </row>
    <row r="4" spans="1:10" x14ac:dyDescent="0.3">
      <c r="A4" s="1">
        <v>46143</v>
      </c>
      <c r="B4" t="s">
        <v>12</v>
      </c>
      <c r="C4">
        <v>3</v>
      </c>
      <c r="D4">
        <v>17.5</v>
      </c>
      <c r="E4">
        <v>12</v>
      </c>
      <c r="F4">
        <v>7</v>
      </c>
      <c r="G4" t="s">
        <v>31</v>
      </c>
      <c r="H4" t="s">
        <v>32</v>
      </c>
      <c r="I4">
        <v>3</v>
      </c>
      <c r="J4">
        <v>1</v>
      </c>
    </row>
    <row r="5" spans="1:10" x14ac:dyDescent="0.3">
      <c r="A5" s="1">
        <v>46143</v>
      </c>
      <c r="B5" t="s">
        <v>12</v>
      </c>
      <c r="C5">
        <v>4</v>
      </c>
      <c r="D5">
        <v>17.5</v>
      </c>
      <c r="E5">
        <v>10</v>
      </c>
      <c r="F5">
        <v>9</v>
      </c>
      <c r="G5" t="s">
        <v>31</v>
      </c>
      <c r="H5" t="s">
        <v>32</v>
      </c>
      <c r="I5">
        <v>4</v>
      </c>
      <c r="J5">
        <v>1</v>
      </c>
    </row>
    <row r="6" spans="1:10" x14ac:dyDescent="0.3">
      <c r="A6" s="1">
        <v>46143</v>
      </c>
      <c r="B6" t="s">
        <v>13</v>
      </c>
      <c r="C6">
        <v>1</v>
      </c>
      <c r="D6">
        <v>40</v>
      </c>
      <c r="E6">
        <v>15</v>
      </c>
      <c r="F6">
        <v>4</v>
      </c>
      <c r="G6" t="s">
        <v>31</v>
      </c>
      <c r="H6" t="s">
        <v>32</v>
      </c>
      <c r="I6">
        <v>2</v>
      </c>
      <c r="J6">
        <v>1</v>
      </c>
    </row>
    <row r="7" spans="1:10" x14ac:dyDescent="0.3">
      <c r="A7" s="1">
        <v>46143</v>
      </c>
      <c r="B7" t="s">
        <v>13</v>
      </c>
      <c r="C7">
        <v>2</v>
      </c>
      <c r="D7">
        <v>50</v>
      </c>
      <c r="E7">
        <v>12</v>
      </c>
      <c r="F7">
        <v>6</v>
      </c>
      <c r="G7" t="s">
        <v>30</v>
      </c>
      <c r="H7" t="s">
        <v>32</v>
      </c>
      <c r="I7">
        <v>1</v>
      </c>
      <c r="J7">
        <v>1</v>
      </c>
    </row>
    <row r="8" spans="1:10" x14ac:dyDescent="0.3">
      <c r="A8" s="1">
        <v>46143</v>
      </c>
      <c r="B8" t="s">
        <v>13</v>
      </c>
      <c r="C8">
        <v>3</v>
      </c>
      <c r="D8">
        <v>55</v>
      </c>
      <c r="E8">
        <v>8</v>
      </c>
      <c r="F8">
        <v>9</v>
      </c>
      <c r="G8" t="s">
        <v>30</v>
      </c>
      <c r="H8" t="s">
        <v>32</v>
      </c>
      <c r="I8">
        <v>2</v>
      </c>
      <c r="J8">
        <v>1</v>
      </c>
    </row>
    <row r="9" spans="1:10" x14ac:dyDescent="0.3">
      <c r="A9" s="1">
        <v>46143</v>
      </c>
      <c r="B9" t="s">
        <v>14</v>
      </c>
      <c r="C9">
        <v>1</v>
      </c>
      <c r="D9">
        <v>30</v>
      </c>
      <c r="E9">
        <v>12</v>
      </c>
      <c r="F9">
        <v>5</v>
      </c>
      <c r="G9" t="s">
        <v>30</v>
      </c>
      <c r="H9" t="s">
        <v>32</v>
      </c>
      <c r="I9">
        <v>2</v>
      </c>
      <c r="J9">
        <v>1</v>
      </c>
    </row>
    <row r="10" spans="1:10" x14ac:dyDescent="0.3">
      <c r="A10" s="1">
        <v>46143</v>
      </c>
      <c r="B10" t="s">
        <v>14</v>
      </c>
      <c r="C10">
        <v>2</v>
      </c>
      <c r="D10">
        <v>40</v>
      </c>
      <c r="E10">
        <v>10</v>
      </c>
      <c r="F10">
        <v>8</v>
      </c>
      <c r="G10" t="s">
        <v>30</v>
      </c>
      <c r="H10" t="s">
        <v>32</v>
      </c>
      <c r="I10">
        <v>2</v>
      </c>
      <c r="J10">
        <v>1</v>
      </c>
    </row>
    <row r="11" spans="1:10" x14ac:dyDescent="0.3">
      <c r="A11" s="1">
        <v>46143</v>
      </c>
      <c r="B11" t="s">
        <v>14</v>
      </c>
      <c r="C11">
        <v>3</v>
      </c>
      <c r="D11">
        <v>50</v>
      </c>
      <c r="E11">
        <v>6</v>
      </c>
      <c r="F11">
        <v>10</v>
      </c>
      <c r="G11" t="s">
        <v>30</v>
      </c>
      <c r="H11" t="s">
        <v>32</v>
      </c>
      <c r="I11">
        <v>3</v>
      </c>
      <c r="J11">
        <v>1</v>
      </c>
    </row>
    <row r="12" spans="1:10" x14ac:dyDescent="0.3">
      <c r="A12" s="1">
        <v>46143</v>
      </c>
      <c r="B12" t="s">
        <v>15</v>
      </c>
      <c r="C12">
        <v>1</v>
      </c>
      <c r="D12">
        <v>30</v>
      </c>
      <c r="E12">
        <v>15</v>
      </c>
      <c r="F12">
        <v>3</v>
      </c>
      <c r="G12" t="s">
        <v>30</v>
      </c>
      <c r="H12" t="s">
        <v>32</v>
      </c>
      <c r="I12">
        <v>3</v>
      </c>
      <c r="J12">
        <v>1</v>
      </c>
    </row>
    <row r="13" spans="1:10" x14ac:dyDescent="0.3">
      <c r="A13" s="1">
        <v>46143</v>
      </c>
      <c r="B13" t="s">
        <v>15</v>
      </c>
      <c r="C13">
        <v>2</v>
      </c>
      <c r="D13">
        <v>60</v>
      </c>
      <c r="E13">
        <v>10</v>
      </c>
      <c r="F13">
        <v>7</v>
      </c>
      <c r="G13" t="s">
        <v>30</v>
      </c>
      <c r="H13" t="s">
        <v>32</v>
      </c>
      <c r="I13">
        <v>3</v>
      </c>
      <c r="J13">
        <v>1</v>
      </c>
    </row>
    <row r="14" spans="1:10" x14ac:dyDescent="0.3">
      <c r="A14" s="1">
        <v>46143</v>
      </c>
      <c r="B14" t="s">
        <v>15</v>
      </c>
      <c r="C14">
        <v>3</v>
      </c>
      <c r="D14">
        <v>70</v>
      </c>
      <c r="E14">
        <v>7</v>
      </c>
      <c r="F14">
        <v>10</v>
      </c>
      <c r="G14" t="s">
        <v>30</v>
      </c>
      <c r="H14" t="s">
        <v>32</v>
      </c>
      <c r="I14">
        <v>3</v>
      </c>
      <c r="J14">
        <v>1</v>
      </c>
    </row>
    <row r="15" spans="1:10" x14ac:dyDescent="0.3">
      <c r="A15" s="1">
        <v>46174</v>
      </c>
      <c r="B15" t="s">
        <v>16</v>
      </c>
      <c r="C15">
        <v>1</v>
      </c>
      <c r="D15">
        <v>40</v>
      </c>
      <c r="E15">
        <v>15</v>
      </c>
      <c r="F15">
        <v>5</v>
      </c>
      <c r="G15" t="s">
        <v>31</v>
      </c>
      <c r="H15" t="s">
        <v>32</v>
      </c>
      <c r="I15">
        <v>2</v>
      </c>
      <c r="J15">
        <v>2</v>
      </c>
    </row>
    <row r="16" spans="1:10" x14ac:dyDescent="0.3">
      <c r="A16" s="1">
        <v>46174</v>
      </c>
      <c r="B16" t="s">
        <v>16</v>
      </c>
      <c r="C16">
        <v>2</v>
      </c>
      <c r="D16">
        <v>45</v>
      </c>
      <c r="E16">
        <v>12</v>
      </c>
      <c r="F16">
        <v>7</v>
      </c>
      <c r="G16" t="s">
        <v>31</v>
      </c>
      <c r="H16" t="s">
        <v>32</v>
      </c>
      <c r="I16">
        <v>3</v>
      </c>
      <c r="J16">
        <v>2</v>
      </c>
    </row>
    <row r="17" spans="1:10" x14ac:dyDescent="0.3">
      <c r="A17" s="1">
        <v>46174</v>
      </c>
      <c r="B17" t="s">
        <v>16</v>
      </c>
      <c r="C17">
        <v>3</v>
      </c>
      <c r="D17">
        <v>50</v>
      </c>
      <c r="E17">
        <v>8</v>
      </c>
      <c r="F17">
        <v>8</v>
      </c>
      <c r="G17" t="s">
        <v>31</v>
      </c>
      <c r="H17" t="s">
        <v>32</v>
      </c>
      <c r="I17">
        <v>3</v>
      </c>
      <c r="J17">
        <v>2</v>
      </c>
    </row>
    <row r="18" spans="1:10" x14ac:dyDescent="0.3">
      <c r="A18" s="1">
        <v>46174</v>
      </c>
      <c r="B18" t="s">
        <v>17</v>
      </c>
      <c r="C18">
        <v>1</v>
      </c>
      <c r="D18">
        <v>30</v>
      </c>
      <c r="E18">
        <v>12</v>
      </c>
      <c r="F18">
        <v>6</v>
      </c>
      <c r="G18" t="s">
        <v>31</v>
      </c>
      <c r="H18" t="s">
        <v>32</v>
      </c>
      <c r="I18">
        <v>1</v>
      </c>
      <c r="J18">
        <v>2</v>
      </c>
    </row>
    <row r="19" spans="1:10" x14ac:dyDescent="0.3">
      <c r="A19" s="1">
        <v>46174</v>
      </c>
      <c r="B19" t="s">
        <v>17</v>
      </c>
      <c r="C19">
        <v>2</v>
      </c>
      <c r="D19">
        <v>40</v>
      </c>
      <c r="E19">
        <v>8</v>
      </c>
      <c r="F19">
        <v>7</v>
      </c>
      <c r="G19" t="s">
        <v>30</v>
      </c>
      <c r="H19" t="s">
        <v>32</v>
      </c>
      <c r="I19">
        <v>1</v>
      </c>
      <c r="J19">
        <v>2</v>
      </c>
    </row>
    <row r="20" spans="1:10" x14ac:dyDescent="0.3">
      <c r="A20" s="1">
        <v>46174</v>
      </c>
      <c r="B20" t="s">
        <v>17</v>
      </c>
      <c r="C20">
        <v>3</v>
      </c>
      <c r="D20">
        <v>40</v>
      </c>
      <c r="E20">
        <v>8</v>
      </c>
      <c r="F20">
        <v>9</v>
      </c>
      <c r="G20" t="s">
        <v>30</v>
      </c>
      <c r="H20" t="s">
        <v>32</v>
      </c>
      <c r="I20">
        <v>2</v>
      </c>
      <c r="J20">
        <v>2</v>
      </c>
    </row>
    <row r="21" spans="1:10" x14ac:dyDescent="0.3">
      <c r="A21" s="1">
        <v>46174</v>
      </c>
      <c r="B21" t="s">
        <v>18</v>
      </c>
      <c r="C21">
        <v>1</v>
      </c>
      <c r="D21">
        <v>20</v>
      </c>
      <c r="E21">
        <v>12</v>
      </c>
      <c r="F21">
        <v>6</v>
      </c>
      <c r="G21" t="s">
        <v>30</v>
      </c>
      <c r="H21" t="s">
        <v>32</v>
      </c>
      <c r="I21">
        <v>1</v>
      </c>
      <c r="J21">
        <v>2</v>
      </c>
    </row>
    <row r="22" spans="1:10" x14ac:dyDescent="0.3">
      <c r="A22" s="1">
        <v>46174</v>
      </c>
      <c r="B22" t="s">
        <v>18</v>
      </c>
      <c r="C22">
        <v>2</v>
      </c>
      <c r="D22">
        <v>30</v>
      </c>
      <c r="E22">
        <v>12</v>
      </c>
      <c r="F22">
        <v>7</v>
      </c>
      <c r="G22" t="s">
        <v>30</v>
      </c>
      <c r="H22" t="s">
        <v>32</v>
      </c>
      <c r="I22">
        <v>2</v>
      </c>
      <c r="J22">
        <v>2</v>
      </c>
    </row>
    <row r="23" spans="1:10" x14ac:dyDescent="0.3">
      <c r="A23" s="1">
        <v>46174</v>
      </c>
      <c r="B23" t="s">
        <v>18</v>
      </c>
      <c r="C23">
        <v>3</v>
      </c>
      <c r="D23">
        <v>40</v>
      </c>
      <c r="E23">
        <v>10</v>
      </c>
      <c r="F23">
        <v>9</v>
      </c>
      <c r="G23" t="s">
        <v>30</v>
      </c>
      <c r="H23" t="s">
        <v>32</v>
      </c>
      <c r="I23">
        <v>2</v>
      </c>
      <c r="J23">
        <v>2</v>
      </c>
    </row>
    <row r="24" spans="1:10" x14ac:dyDescent="0.3">
      <c r="A24" s="1">
        <v>46174</v>
      </c>
      <c r="B24" t="s">
        <v>18</v>
      </c>
      <c r="C24">
        <v>4</v>
      </c>
      <c r="D24">
        <v>50</v>
      </c>
      <c r="E24">
        <v>8</v>
      </c>
      <c r="F24">
        <v>10</v>
      </c>
      <c r="G24" t="s">
        <v>30</v>
      </c>
      <c r="H24" t="s">
        <v>32</v>
      </c>
      <c r="I24">
        <v>2</v>
      </c>
      <c r="J24">
        <v>2</v>
      </c>
    </row>
    <row r="25" spans="1:10" x14ac:dyDescent="0.3">
      <c r="A25" s="1">
        <v>46174</v>
      </c>
      <c r="B25" t="s">
        <v>19</v>
      </c>
      <c r="C25">
        <v>1</v>
      </c>
      <c r="D25">
        <v>35</v>
      </c>
      <c r="E25">
        <v>12</v>
      </c>
      <c r="F25">
        <v>6</v>
      </c>
      <c r="G25" t="s">
        <v>31</v>
      </c>
      <c r="H25" t="s">
        <v>32</v>
      </c>
      <c r="I25">
        <v>5</v>
      </c>
      <c r="J25">
        <v>2</v>
      </c>
    </row>
    <row r="26" spans="1:10" x14ac:dyDescent="0.3">
      <c r="A26" s="1">
        <v>46174</v>
      </c>
      <c r="B26" t="s">
        <v>19</v>
      </c>
      <c r="C26">
        <v>2</v>
      </c>
      <c r="D26">
        <v>45</v>
      </c>
      <c r="E26">
        <v>10</v>
      </c>
      <c r="F26">
        <v>8</v>
      </c>
      <c r="G26" t="s">
        <v>31</v>
      </c>
      <c r="H26" t="s">
        <v>32</v>
      </c>
      <c r="I26">
        <v>5</v>
      </c>
      <c r="J26">
        <v>2</v>
      </c>
    </row>
    <row r="27" spans="1:10" x14ac:dyDescent="0.3">
      <c r="A27" s="1">
        <v>46174</v>
      </c>
      <c r="B27" t="s">
        <v>19</v>
      </c>
      <c r="C27">
        <v>3</v>
      </c>
      <c r="D27">
        <v>50</v>
      </c>
      <c r="E27">
        <v>8</v>
      </c>
      <c r="F27">
        <v>9</v>
      </c>
      <c r="G27" t="s">
        <v>31</v>
      </c>
      <c r="H27" t="s">
        <v>32</v>
      </c>
      <c r="I27">
        <v>3</v>
      </c>
      <c r="J27">
        <v>2</v>
      </c>
    </row>
    <row r="28" spans="1:10" x14ac:dyDescent="0.3">
      <c r="A28" s="1">
        <v>46174</v>
      </c>
      <c r="B28" t="s">
        <v>20</v>
      </c>
      <c r="C28">
        <v>1</v>
      </c>
      <c r="D28">
        <v>30</v>
      </c>
      <c r="E28">
        <v>8</v>
      </c>
      <c r="F28">
        <v>9</v>
      </c>
      <c r="G28" t="s">
        <v>30</v>
      </c>
      <c r="H28" t="s">
        <v>32</v>
      </c>
      <c r="I28">
        <v>3</v>
      </c>
      <c r="J28">
        <v>2</v>
      </c>
    </row>
    <row r="29" spans="1:10" x14ac:dyDescent="0.3">
      <c r="A29" s="1">
        <v>46174</v>
      </c>
      <c r="B29" t="s">
        <v>20</v>
      </c>
      <c r="C29">
        <v>2</v>
      </c>
      <c r="D29">
        <v>35</v>
      </c>
      <c r="E29">
        <v>6</v>
      </c>
      <c r="F29">
        <v>10</v>
      </c>
      <c r="G29" t="s">
        <v>31</v>
      </c>
      <c r="H29" t="s">
        <v>32</v>
      </c>
      <c r="I29">
        <v>3</v>
      </c>
      <c r="J29">
        <v>2</v>
      </c>
    </row>
    <row r="30" spans="1:10" x14ac:dyDescent="0.3">
      <c r="A30" s="1">
        <v>46174</v>
      </c>
      <c r="B30" t="s">
        <v>21</v>
      </c>
      <c r="C30">
        <v>1</v>
      </c>
      <c r="D30">
        <v>0</v>
      </c>
      <c r="E30">
        <v>12</v>
      </c>
      <c r="F30">
        <v>9</v>
      </c>
      <c r="G30" t="s">
        <v>30</v>
      </c>
      <c r="H30" t="s">
        <v>32</v>
      </c>
      <c r="I30">
        <v>1</v>
      </c>
      <c r="J30">
        <v>2</v>
      </c>
    </row>
    <row r="31" spans="1:10" x14ac:dyDescent="0.3">
      <c r="A31" s="1">
        <v>46174</v>
      </c>
      <c r="B31" t="s">
        <v>21</v>
      </c>
      <c r="C31">
        <v>2</v>
      </c>
      <c r="D31">
        <v>0</v>
      </c>
      <c r="E31">
        <v>12</v>
      </c>
      <c r="F31">
        <v>10</v>
      </c>
      <c r="G31" t="s">
        <v>30</v>
      </c>
      <c r="H31" t="s">
        <v>32</v>
      </c>
      <c r="I31">
        <v>2</v>
      </c>
      <c r="J31">
        <v>2</v>
      </c>
    </row>
    <row r="32" spans="1:10" x14ac:dyDescent="0.3">
      <c r="A32" s="1">
        <v>46174</v>
      </c>
      <c r="B32" t="s">
        <v>21</v>
      </c>
      <c r="C32">
        <v>3</v>
      </c>
      <c r="D32">
        <v>0</v>
      </c>
      <c r="E32">
        <v>12</v>
      </c>
      <c r="F32">
        <v>10</v>
      </c>
      <c r="G32" t="s">
        <v>30</v>
      </c>
      <c r="H32" t="s">
        <v>32</v>
      </c>
      <c r="I32">
        <v>3</v>
      </c>
      <c r="J32">
        <v>2</v>
      </c>
    </row>
    <row r="33" spans="1:1" x14ac:dyDescent="0.3">
      <c r="A33" s="1"/>
    </row>
    <row r="34" spans="1:1" x14ac:dyDescent="0.3">
      <c r="A34" s="1"/>
    </row>
    <row r="35" spans="1:1" x14ac:dyDescent="0.3">
      <c r="A35" s="1"/>
    </row>
  </sheetData>
  <dataValidations count="1">
    <dataValidation type="list" allowBlank="1" showInputMessage="1" showErrorMessage="1" sqref="H1:H1048576" xr:uid="{D40BA61C-F830-478F-A4EB-45358D09E6A4}">
      <formula1>"Yes, No"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817522-E0D0-4778-92C5-C7A86B4A7746}">
          <x14:formula1>
            <xm:f>Config!$A$2:$A$7</xm:f>
          </x14:formula1>
          <xm:sqref>G1:G1048576</xm:sqref>
        </x14:dataValidation>
        <x14:dataValidation type="list" allowBlank="1" showInputMessage="1" showErrorMessage="1" xr:uid="{5BE66A85-FD11-417E-9800-84D18A6D039F}">
          <x14:formula1>
            <xm:f>Config!$C$2:$C$7</xm:f>
          </x14:formula1>
          <xm:sqref>J1:J1048576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E0D29-CDA8-4DD7-B79E-7B6AF7CDDDC9}">
  <sheetPr codeName="Sheet3"/>
  <dimension ref="A1:C7"/>
  <sheetViews>
    <sheetView workbookViewId="0">
      <selection activeCell="B3" sqref="B3"/>
    </sheetView>
  </sheetViews>
  <sheetFormatPr defaultRowHeight="14.4" x14ac:dyDescent="0.3"/>
  <cols>
    <col min="1" max="1" width="24.5546875" customWidth="1"/>
    <col min="2" max="2" width="29.109375" customWidth="1"/>
    <col min="3" max="3" width="21.88671875" customWidth="1"/>
  </cols>
  <sheetData>
    <row r="1" spans="1:3" ht="69.599999999999994" thickBot="1" x14ac:dyDescent="0.35">
      <c r="A1" s="3" t="s">
        <v>36</v>
      </c>
      <c r="B1" s="3" t="s">
        <v>37</v>
      </c>
      <c r="C1" s="3" t="s">
        <v>38</v>
      </c>
    </row>
    <row r="2" spans="1:3" ht="28.2" thickBot="1" x14ac:dyDescent="0.35">
      <c r="A2" s="4" t="s">
        <v>31</v>
      </c>
      <c r="B2" s="4" t="s">
        <v>39</v>
      </c>
      <c r="C2" s="4">
        <v>1</v>
      </c>
    </row>
    <row r="3" spans="1:3" ht="28.2" thickBot="1" x14ac:dyDescent="0.35">
      <c r="A3" s="4" t="s">
        <v>40</v>
      </c>
      <c r="B3" s="4" t="s">
        <v>34</v>
      </c>
      <c r="C3" s="4">
        <v>2</v>
      </c>
    </row>
    <row r="4" spans="1:3" ht="28.2" thickBot="1" x14ac:dyDescent="0.35">
      <c r="A4" s="4" t="s">
        <v>41</v>
      </c>
      <c r="B4" s="4" t="s">
        <v>42</v>
      </c>
      <c r="C4" s="4">
        <v>3</v>
      </c>
    </row>
    <row r="5" spans="1:3" ht="28.2" thickBot="1" x14ac:dyDescent="0.35">
      <c r="A5" s="4" t="s">
        <v>43</v>
      </c>
      <c r="B5" s="4" t="s">
        <v>44</v>
      </c>
      <c r="C5" s="4">
        <v>5</v>
      </c>
    </row>
    <row r="6" spans="1:3" ht="42" thickBot="1" x14ac:dyDescent="0.35">
      <c r="A6" s="4" t="s">
        <v>30</v>
      </c>
      <c r="B6" s="4" t="s">
        <v>35</v>
      </c>
      <c r="C6" s="4">
        <v>8</v>
      </c>
    </row>
    <row r="7" spans="1:3" ht="42" thickBot="1" x14ac:dyDescent="0.35">
      <c r="A7" s="4" t="s">
        <v>45</v>
      </c>
      <c r="B7" s="4" t="s">
        <v>46</v>
      </c>
      <c r="C7" s="4">
        <v>10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D9150-A5B1-4C99-9CD0-06DBA08D1212}">
  <dimension ref="B3:F14"/>
  <sheetViews>
    <sheetView showGridLines="0" zoomScale="92" workbookViewId="0">
      <selection activeCell="H12" sqref="H12"/>
    </sheetView>
  </sheetViews>
  <sheetFormatPr defaultRowHeight="14.4" x14ac:dyDescent="0.3"/>
  <cols>
    <col min="2" max="2" width="25.77734375" customWidth="1"/>
    <col min="3" max="3" width="2.77734375" customWidth="1"/>
    <col min="4" max="4" width="25.77734375" customWidth="1"/>
    <col min="5" max="5" width="2.77734375" customWidth="1"/>
    <col min="6" max="6" width="25.77734375" customWidth="1"/>
  </cols>
  <sheetData>
    <row r="3" spans="2:6" ht="15.6" x14ac:dyDescent="0.3">
      <c r="B3" s="7" t="s">
        <v>50</v>
      </c>
      <c r="D3" s="7" t="s">
        <v>48</v>
      </c>
      <c r="F3" s="7" t="s">
        <v>49</v>
      </c>
    </row>
    <row r="4" spans="2:6" ht="31.2" x14ac:dyDescent="0.6">
      <c r="B4" s="8" t="str">
        <f>_xlfn.MAXIFS(Workout_Log!D:D, Workout_Log!B:B, "Bench Press") &amp; " KG"</f>
        <v>55 KG</v>
      </c>
      <c r="D4" s="8" t="str">
        <f>_xlfn.MAXIFS(Workout_Log!D:D, Workout_Log!B:B, "Squat") &amp; " KG"</f>
        <v>0 KG</v>
      </c>
      <c r="F4" s="8" t="str">
        <f>ROUND(AVERAGE(Daily_Log!B:B), 1) &amp; " HRS"</f>
        <v>4 HRS</v>
      </c>
    </row>
    <row r="6" spans="2:6" x14ac:dyDescent="0.3">
      <c r="B6" s="6" t="s">
        <v>47</v>
      </c>
    </row>
    <row r="7" spans="2:6" ht="40.799999999999997" customHeight="1" x14ac:dyDescent="0.3">
      <c r="B7" s="10" t="str">
        <f>REPT("|", LOOKUP(2,1/(Daily_Log!B:B&lt;&gt;""),Daily_Log!B:B) * 3)</f>
        <v>|||||||||||||||</v>
      </c>
      <c r="C7" s="10"/>
      <c r="D7" s="10"/>
      <c r="E7" s="10"/>
      <c r="F7" s="10"/>
    </row>
    <row r="14" spans="2:6" x14ac:dyDescent="0.3">
      <c r="B14" s="9"/>
    </row>
  </sheetData>
  <mergeCells count="1">
    <mergeCell ref="B7:F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BioEngine">
                <anchor moveWithCells="1" sizeWithCells="1">
                  <from>
                    <xdr:col>2</xdr:col>
                    <xdr:colOff>609600</xdr:colOff>
                    <xdr:row>8</xdr:row>
                    <xdr:rowOff>182880</xdr:rowOff>
                  </from>
                  <to>
                    <xdr:col>5</xdr:col>
                    <xdr:colOff>609600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Daily_Log</vt:lpstr>
      <vt:lpstr>Workout_Log</vt:lpstr>
      <vt:lpstr>Config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2026-01-06T04:01:52Z</dcterms:created>
  <dcterms:modified xsi:type="dcterms:W3CDTF">2026-01-06T11:24:14Z</dcterms:modified>
</cp:coreProperties>
</file>